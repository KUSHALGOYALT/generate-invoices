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xaclimate-my.sharepoint.com/personal/manish_goyal_hexaclimate_com/Documents/Desktop/Hexa Accounts/India/Taxation/GST/RCM Self Invoices/Hexa RCM Self Invoices/"/>
    </mc:Choice>
  </mc:AlternateContent>
  <xr:revisionPtr revIDLastSave="0" documentId="8_{0C8DB2DF-FE3A-482D-80BC-E3DA213521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 Self Invoice" sheetId="1" r:id="rId1"/>
    <sheet name="GST RCM" sheetId="4" r:id="rId2"/>
    <sheet name="Sheet2" sheetId="2" r:id="rId3"/>
    <sheet name="Sheet3" sheetId="3" state="hidden" r:id="rId4"/>
  </sheets>
  <definedNames>
    <definedName name="_xlnm._FilterDatabase" localSheetId="1" hidden="1">'GST RCM'!$A$2:$AD$30</definedName>
    <definedName name="_xlnm._FilterDatabase" localSheetId="0" hidden="1">'GST Self Invoice'!$A$1:$AH$8</definedName>
    <definedName name="_xlnm.Print_Area" localSheetId="0">'GST Self Invoice'!$A$1:$AH$9</definedName>
    <definedName name="_xlnm.Print_Area" localSheetId="3">Sheet3!$A$1:$P$1</definedName>
    <definedName name="_xlnm.Print_Titles" localSheetId="3">Sheet3!$53:$53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4" l="1"/>
  <c r="L1" i="4"/>
  <c r="P1" i="4"/>
  <c r="O1" i="4"/>
  <c r="N1" i="4"/>
  <c r="M1" i="4"/>
  <c r="K9" i="1"/>
  <c r="K8" i="1"/>
  <c r="K7" i="1"/>
  <c r="K6" i="1"/>
  <c r="K5" i="1"/>
  <c r="K4" i="1"/>
  <c r="K3" i="1"/>
  <c r="K2" i="1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A3" i="1"/>
  <c r="A4" i="1" s="1"/>
  <c r="A5" i="1" s="1"/>
  <c r="A6" i="1" s="1"/>
  <c r="A7" i="1" s="1"/>
  <c r="A8" i="1" s="1"/>
  <c r="A9" i="1" s="1"/>
  <c r="Q31" i="4"/>
  <c r="Y31" i="4" s="1"/>
  <c r="O31" i="4"/>
  <c r="T31" i="4" s="1"/>
  <c r="AB31" i="4" s="1"/>
  <c r="N31" i="4"/>
  <c r="S31" i="4" s="1"/>
  <c r="AA31" i="4" s="1"/>
  <c r="M31" i="4"/>
  <c r="R31" i="4" s="1"/>
  <c r="J31" i="4"/>
  <c r="Q30" i="4"/>
  <c r="Y30" i="4" s="1"/>
  <c r="O30" i="4"/>
  <c r="T30" i="4" s="1"/>
  <c r="AB30" i="4" s="1"/>
  <c r="N30" i="4"/>
  <c r="S30" i="4" s="1"/>
  <c r="AA30" i="4" s="1"/>
  <c r="M30" i="4"/>
  <c r="R30" i="4" s="1"/>
  <c r="Z30" i="4" s="1"/>
  <c r="J30" i="4"/>
  <c r="Q29" i="4"/>
  <c r="Y29" i="4" s="1"/>
  <c r="O29" i="4"/>
  <c r="T29" i="4" s="1"/>
  <c r="AB29" i="4" s="1"/>
  <c r="N29" i="4"/>
  <c r="S29" i="4" s="1"/>
  <c r="AA29" i="4" s="1"/>
  <c r="M29" i="4"/>
  <c r="R29" i="4" s="1"/>
  <c r="Z29" i="4" s="1"/>
  <c r="J29" i="4"/>
  <c r="Q28" i="4"/>
  <c r="Y28" i="4" s="1"/>
  <c r="O28" i="4"/>
  <c r="T28" i="4" s="1"/>
  <c r="AB28" i="4" s="1"/>
  <c r="N28" i="4"/>
  <c r="M28" i="4"/>
  <c r="R28" i="4" s="1"/>
  <c r="Z28" i="4" s="1"/>
  <c r="J28" i="4"/>
  <c r="Q27" i="4"/>
  <c r="O27" i="4"/>
  <c r="T27" i="4" s="1"/>
  <c r="AB27" i="4" s="1"/>
  <c r="N27" i="4"/>
  <c r="S27" i="4" s="1"/>
  <c r="AA27" i="4" s="1"/>
  <c r="M27" i="4"/>
  <c r="R27" i="4" s="1"/>
  <c r="Z27" i="4" s="1"/>
  <c r="J27" i="4"/>
  <c r="Q26" i="4"/>
  <c r="O26" i="4"/>
  <c r="T26" i="4" s="1"/>
  <c r="AB26" i="4" s="1"/>
  <c r="N26" i="4"/>
  <c r="S26" i="4" s="1"/>
  <c r="AA26" i="4" s="1"/>
  <c r="M26" i="4"/>
  <c r="R26" i="4" s="1"/>
  <c r="Z26" i="4" s="1"/>
  <c r="J26" i="4"/>
  <c r="Q25" i="4"/>
  <c r="Y25" i="4" s="1"/>
  <c r="O25" i="4"/>
  <c r="T25" i="4" s="1"/>
  <c r="AB25" i="4" s="1"/>
  <c r="N25" i="4"/>
  <c r="S25" i="4" s="1"/>
  <c r="AA25" i="4" s="1"/>
  <c r="M25" i="4"/>
  <c r="R25" i="4" s="1"/>
  <c r="Z25" i="4" s="1"/>
  <c r="J25" i="4"/>
  <c r="Q24" i="4"/>
  <c r="Y24" i="4" s="1"/>
  <c r="O24" i="4"/>
  <c r="T24" i="4" s="1"/>
  <c r="AB24" i="4" s="1"/>
  <c r="N24" i="4"/>
  <c r="S24" i="4" s="1"/>
  <c r="AA24" i="4" s="1"/>
  <c r="M24" i="4"/>
  <c r="J24" i="4"/>
  <c r="Q23" i="4"/>
  <c r="Y23" i="4" s="1"/>
  <c r="O23" i="4"/>
  <c r="T23" i="4" s="1"/>
  <c r="AB23" i="4" s="1"/>
  <c r="N23" i="4"/>
  <c r="S23" i="4" s="1"/>
  <c r="AA23" i="4" s="1"/>
  <c r="M23" i="4"/>
  <c r="J23" i="4"/>
  <c r="Q22" i="4"/>
  <c r="O22" i="4"/>
  <c r="T22" i="4" s="1"/>
  <c r="AB22" i="4" s="1"/>
  <c r="N22" i="4"/>
  <c r="S22" i="4" s="1"/>
  <c r="AA22" i="4" s="1"/>
  <c r="M22" i="4"/>
  <c r="R22" i="4" s="1"/>
  <c r="Z22" i="4" s="1"/>
  <c r="J22" i="4"/>
  <c r="Q21" i="4"/>
  <c r="Y21" i="4" s="1"/>
  <c r="O21" i="4"/>
  <c r="T21" i="4" s="1"/>
  <c r="AB21" i="4" s="1"/>
  <c r="N21" i="4"/>
  <c r="S21" i="4" s="1"/>
  <c r="AA21" i="4" s="1"/>
  <c r="M21" i="4"/>
  <c r="R21" i="4" s="1"/>
  <c r="Z21" i="4" s="1"/>
  <c r="J21" i="4"/>
  <c r="Q20" i="4"/>
  <c r="Y20" i="4" s="1"/>
  <c r="O20" i="4"/>
  <c r="T20" i="4" s="1"/>
  <c r="AB20" i="4" s="1"/>
  <c r="N20" i="4"/>
  <c r="S20" i="4" s="1"/>
  <c r="AA20" i="4" s="1"/>
  <c r="M20" i="4"/>
  <c r="R20" i="4" s="1"/>
  <c r="Z20" i="4" s="1"/>
  <c r="J20" i="4"/>
  <c r="Q19" i="4"/>
  <c r="Y19" i="4" s="1"/>
  <c r="O19" i="4"/>
  <c r="T19" i="4" s="1"/>
  <c r="AB19" i="4" s="1"/>
  <c r="N19" i="4"/>
  <c r="S19" i="4" s="1"/>
  <c r="AA19" i="4" s="1"/>
  <c r="M19" i="4"/>
  <c r="J19" i="4"/>
  <c r="Q18" i="4"/>
  <c r="Y18" i="4" s="1"/>
  <c r="O18" i="4"/>
  <c r="T18" i="4" s="1"/>
  <c r="AB18" i="4" s="1"/>
  <c r="N18" i="4"/>
  <c r="S18" i="4" s="1"/>
  <c r="AA18" i="4" s="1"/>
  <c r="M18" i="4"/>
  <c r="J18" i="4"/>
  <c r="Q17" i="4"/>
  <c r="O17" i="4"/>
  <c r="T17" i="4" s="1"/>
  <c r="AB17" i="4" s="1"/>
  <c r="N17" i="4"/>
  <c r="S17" i="4" s="1"/>
  <c r="AA17" i="4" s="1"/>
  <c r="M17" i="4"/>
  <c r="J17" i="4"/>
  <c r="Q16" i="4"/>
  <c r="O16" i="4"/>
  <c r="T16" i="4" s="1"/>
  <c r="AB16" i="4" s="1"/>
  <c r="N16" i="4"/>
  <c r="S16" i="4" s="1"/>
  <c r="AA16" i="4" s="1"/>
  <c r="M16" i="4"/>
  <c r="R16" i="4" s="1"/>
  <c r="Z16" i="4" s="1"/>
  <c r="J16" i="4"/>
  <c r="Q15" i="4"/>
  <c r="Y15" i="4" s="1"/>
  <c r="O15" i="4"/>
  <c r="T15" i="4" s="1"/>
  <c r="AB15" i="4" s="1"/>
  <c r="N15" i="4"/>
  <c r="M15" i="4"/>
  <c r="R15" i="4" s="1"/>
  <c r="Z15" i="4" s="1"/>
  <c r="J15" i="4"/>
  <c r="Q14" i="4"/>
  <c r="Y14" i="4" s="1"/>
  <c r="O14" i="4"/>
  <c r="T14" i="4" s="1"/>
  <c r="AB14" i="4" s="1"/>
  <c r="N14" i="4"/>
  <c r="S14" i="4" s="1"/>
  <c r="AA14" i="4" s="1"/>
  <c r="M14" i="4"/>
  <c r="R14" i="4" s="1"/>
  <c r="Z14" i="4" s="1"/>
  <c r="J14" i="4"/>
  <c r="Q13" i="4"/>
  <c r="Y13" i="4" s="1"/>
  <c r="O13" i="4"/>
  <c r="T13" i="4" s="1"/>
  <c r="AB13" i="4" s="1"/>
  <c r="N13" i="4"/>
  <c r="S13" i="4" s="1"/>
  <c r="AA13" i="4" s="1"/>
  <c r="M13" i="4"/>
  <c r="J13" i="4"/>
  <c r="Q12" i="4"/>
  <c r="O12" i="4"/>
  <c r="T12" i="4" s="1"/>
  <c r="AB12" i="4" s="1"/>
  <c r="N12" i="4"/>
  <c r="S12" i="4" s="1"/>
  <c r="AA12" i="4" s="1"/>
  <c r="M12" i="4"/>
  <c r="R12" i="4" s="1"/>
  <c r="Z12" i="4" s="1"/>
  <c r="J12" i="4"/>
  <c r="Q11" i="4"/>
  <c r="O11" i="4"/>
  <c r="T11" i="4" s="1"/>
  <c r="AB11" i="4" s="1"/>
  <c r="N11" i="4"/>
  <c r="S11" i="4" s="1"/>
  <c r="AA11" i="4" s="1"/>
  <c r="M11" i="4"/>
  <c r="R11" i="4" s="1"/>
  <c r="Z11" i="4" s="1"/>
  <c r="J11" i="4"/>
  <c r="Q10" i="4"/>
  <c r="Y10" i="4" s="1"/>
  <c r="O10" i="4"/>
  <c r="T10" i="4" s="1"/>
  <c r="N10" i="4"/>
  <c r="S10" i="4" s="1"/>
  <c r="AA10" i="4" s="1"/>
  <c r="M10" i="4"/>
  <c r="R10" i="4" s="1"/>
  <c r="Z10" i="4" s="1"/>
  <c r="J10" i="4"/>
  <c r="Q9" i="4"/>
  <c r="Y9" i="4" s="1"/>
  <c r="O9" i="4"/>
  <c r="T9" i="4" s="1"/>
  <c r="AB9" i="4" s="1"/>
  <c r="N9" i="4"/>
  <c r="S9" i="4" s="1"/>
  <c r="AA9" i="4" s="1"/>
  <c r="M9" i="4"/>
  <c r="J9" i="4"/>
  <c r="Q8" i="4"/>
  <c r="Y8" i="4" s="1"/>
  <c r="O8" i="4"/>
  <c r="T8" i="4" s="1"/>
  <c r="AB8" i="4" s="1"/>
  <c r="N8" i="4"/>
  <c r="S8" i="4" s="1"/>
  <c r="AA8" i="4" s="1"/>
  <c r="M8" i="4"/>
  <c r="J8" i="4"/>
  <c r="Q7" i="4"/>
  <c r="Y7" i="4" s="1"/>
  <c r="O7" i="4"/>
  <c r="T7" i="4" s="1"/>
  <c r="AB7" i="4" s="1"/>
  <c r="N7" i="4"/>
  <c r="S7" i="4" s="1"/>
  <c r="AA7" i="4" s="1"/>
  <c r="M7" i="4"/>
  <c r="R7" i="4" s="1"/>
  <c r="Z7" i="4" s="1"/>
  <c r="J7" i="4"/>
  <c r="Q6" i="4"/>
  <c r="O6" i="4"/>
  <c r="T6" i="4" s="1"/>
  <c r="AB6" i="4" s="1"/>
  <c r="N6" i="4"/>
  <c r="S6" i="4" s="1"/>
  <c r="AA6" i="4" s="1"/>
  <c r="M6" i="4"/>
  <c r="R6" i="4" s="1"/>
  <c r="Z6" i="4" s="1"/>
  <c r="J6" i="4"/>
  <c r="Q5" i="4"/>
  <c r="Y5" i="4" s="1"/>
  <c r="O5" i="4"/>
  <c r="T5" i="4" s="1"/>
  <c r="AB5" i="4" s="1"/>
  <c r="N5" i="4"/>
  <c r="S5" i="4" s="1"/>
  <c r="AA5" i="4" s="1"/>
  <c r="M5" i="4"/>
  <c r="R5" i="4" s="1"/>
  <c r="Z5" i="4" s="1"/>
  <c r="J5" i="4"/>
  <c r="Q4" i="4"/>
  <c r="Y4" i="4" s="1"/>
  <c r="O4" i="4"/>
  <c r="T4" i="4" s="1"/>
  <c r="AB4" i="4" s="1"/>
  <c r="N4" i="4"/>
  <c r="S4" i="4" s="1"/>
  <c r="AA4" i="4" s="1"/>
  <c r="M4" i="4"/>
  <c r="R4" i="4" s="1"/>
  <c r="Z4" i="4" s="1"/>
  <c r="J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Q3" i="4"/>
  <c r="Y3" i="4" s="1"/>
  <c r="O3" i="4"/>
  <c r="T3" i="4" s="1"/>
  <c r="AB3" i="4" s="1"/>
  <c r="N3" i="4"/>
  <c r="S3" i="4" s="1"/>
  <c r="AA3" i="4" s="1"/>
  <c r="M3" i="4"/>
  <c r="R3" i="4" s="1"/>
  <c r="Z3" i="4" s="1"/>
  <c r="J3" i="4"/>
  <c r="P17" i="4" l="1"/>
  <c r="U17" i="4" s="1"/>
  <c r="AC17" i="4" s="1"/>
  <c r="P19" i="4"/>
  <c r="U19" i="4" s="1"/>
  <c r="AC19" i="4" s="1"/>
  <c r="P9" i="4"/>
  <c r="U9" i="4" s="1"/>
  <c r="AC9" i="4" s="1"/>
  <c r="P15" i="4"/>
  <c r="U15" i="4" s="1"/>
  <c r="AC15" i="4" s="1"/>
  <c r="R9" i="4"/>
  <c r="P21" i="4"/>
  <c r="U21" i="4" s="1"/>
  <c r="AC21" i="4" s="1"/>
  <c r="P30" i="4"/>
  <c r="U30" i="4" s="1"/>
  <c r="AC30" i="4" s="1"/>
  <c r="S15" i="4"/>
  <c r="AA15" i="4" s="1"/>
  <c r="P4" i="4"/>
  <c r="U4" i="4" s="1"/>
  <c r="AC4" i="4" s="1"/>
  <c r="W14" i="4"/>
  <c r="AD14" i="4" s="1"/>
  <c r="AB10" i="4"/>
  <c r="W10" i="4"/>
  <c r="AD10" i="4" s="1"/>
  <c r="Y6" i="4"/>
  <c r="W6" i="4"/>
  <c r="AD6" i="4" s="1"/>
  <c r="P5" i="4"/>
  <c r="U5" i="4" s="1"/>
  <c r="AC5" i="4" s="1"/>
  <c r="P11" i="4"/>
  <c r="U11" i="4" s="1"/>
  <c r="AC11" i="4" s="1"/>
  <c r="Y17" i="4"/>
  <c r="W21" i="4"/>
  <c r="AD21" i="4" s="1"/>
  <c r="W11" i="4"/>
  <c r="AD11" i="4" s="1"/>
  <c r="Y11" i="4"/>
  <c r="R17" i="4"/>
  <c r="Z17" i="4" s="1"/>
  <c r="W27" i="4"/>
  <c r="AD27" i="4" s="1"/>
  <c r="Y27" i="4"/>
  <c r="P6" i="4"/>
  <c r="U6" i="4" s="1"/>
  <c r="AC6" i="4" s="1"/>
  <c r="P16" i="4"/>
  <c r="U16" i="4" s="1"/>
  <c r="AC16" i="4" s="1"/>
  <c r="R8" i="4"/>
  <c r="P8" i="4"/>
  <c r="U8" i="4" s="1"/>
  <c r="AC8" i="4" s="1"/>
  <c r="W25" i="4"/>
  <c r="AD25" i="4" s="1"/>
  <c r="Y16" i="4"/>
  <c r="W16" i="4"/>
  <c r="AD16" i="4" s="1"/>
  <c r="W20" i="4"/>
  <c r="AD20" i="4" s="1"/>
  <c r="W3" i="4"/>
  <c r="AD3" i="4" s="1"/>
  <c r="P13" i="4"/>
  <c r="U13" i="4" s="1"/>
  <c r="AC13" i="4" s="1"/>
  <c r="R13" i="4"/>
  <c r="W5" i="4"/>
  <c r="AD5" i="4" s="1"/>
  <c r="P22" i="4"/>
  <c r="U22" i="4" s="1"/>
  <c r="AC22" i="4" s="1"/>
  <c r="P24" i="4"/>
  <c r="U24" i="4" s="1"/>
  <c r="AC24" i="4" s="1"/>
  <c r="R24" i="4"/>
  <c r="Z24" i="4" s="1"/>
  <c r="S28" i="4"/>
  <c r="AA28" i="4" s="1"/>
  <c r="P28" i="4"/>
  <c r="U28" i="4" s="1"/>
  <c r="AC28" i="4" s="1"/>
  <c r="Y12" i="4"/>
  <c r="W12" i="4"/>
  <c r="AD12" i="4" s="1"/>
  <c r="P12" i="4"/>
  <c r="U12" i="4" s="1"/>
  <c r="AC12" i="4" s="1"/>
  <c r="P10" i="4"/>
  <c r="U10" i="4" s="1"/>
  <c r="AC10" i="4" s="1"/>
  <c r="W4" i="4"/>
  <c r="AD4" i="4" s="1"/>
  <c r="R18" i="4"/>
  <c r="Z18" i="4" s="1"/>
  <c r="P18" i="4"/>
  <c r="U18" i="4" s="1"/>
  <c r="AC18" i="4" s="1"/>
  <c r="Y22" i="4"/>
  <c r="W22" i="4"/>
  <c r="AD22" i="4" s="1"/>
  <c r="P7" i="4"/>
  <c r="U7" i="4" s="1"/>
  <c r="AC7" i="4" s="1"/>
  <c r="W26" i="4"/>
  <c r="AD26" i="4" s="1"/>
  <c r="Y26" i="4"/>
  <c r="Z31" i="4"/>
  <c r="W31" i="4"/>
  <c r="AD31" i="4" s="1"/>
  <c r="R23" i="4"/>
  <c r="Z23" i="4" s="1"/>
  <c r="P23" i="4"/>
  <c r="U23" i="4" s="1"/>
  <c r="AC23" i="4" s="1"/>
  <c r="R19" i="4"/>
  <c r="P25" i="4"/>
  <c r="U25" i="4" s="1"/>
  <c r="AC25" i="4" s="1"/>
  <c r="P3" i="4"/>
  <c r="U3" i="4" s="1"/>
  <c r="AC3" i="4" s="1"/>
  <c r="P14" i="4"/>
  <c r="U14" i="4" s="1"/>
  <c r="AC14" i="4" s="1"/>
  <c r="W7" i="4"/>
  <c r="AD7" i="4" s="1"/>
  <c r="P20" i="4"/>
  <c r="U20" i="4" s="1"/>
  <c r="AC20" i="4" s="1"/>
  <c r="W29" i="4"/>
  <c r="AD29" i="4" s="1"/>
  <c r="P31" i="4"/>
  <c r="U31" i="4" s="1"/>
  <c r="AC31" i="4" s="1"/>
  <c r="P26" i="4"/>
  <c r="U26" i="4" s="1"/>
  <c r="AC26" i="4" s="1"/>
  <c r="W30" i="4"/>
  <c r="AD30" i="4" s="1"/>
  <c r="P27" i="4"/>
  <c r="U27" i="4" s="1"/>
  <c r="AC27" i="4" s="1"/>
  <c r="P29" i="4"/>
  <c r="U29" i="4" s="1"/>
  <c r="AC29" i="4" s="1"/>
  <c r="N9" i="1"/>
  <c r="W28" i="4" l="1"/>
  <c r="AD28" i="4" s="1"/>
  <c r="Z9" i="4"/>
  <c r="W9" i="4"/>
  <c r="AD9" i="4" s="1"/>
  <c r="W15" i="4"/>
  <c r="AD15" i="4" s="1"/>
  <c r="Z8" i="4"/>
  <c r="W8" i="4"/>
  <c r="AD8" i="4" s="1"/>
  <c r="W24" i="4"/>
  <c r="AD24" i="4" s="1"/>
  <c r="Z13" i="4"/>
  <c r="W13" i="4"/>
  <c r="AD13" i="4" s="1"/>
  <c r="W18" i="4"/>
  <c r="AD18" i="4" s="1"/>
  <c r="W17" i="4"/>
  <c r="AD17" i="4" s="1"/>
  <c r="W23" i="4"/>
  <c r="AD23" i="4" s="1"/>
  <c r="Z19" i="4"/>
  <c r="W19" i="4"/>
  <c r="AD19" i="4" s="1"/>
  <c r="N8" i="1"/>
  <c r="N7" i="1" l="1"/>
  <c r="Q8" i="1" l="1"/>
  <c r="V8" i="1" s="1"/>
  <c r="AD8" i="1" s="1"/>
  <c r="R8" i="1"/>
  <c r="W8" i="1" s="1"/>
  <c r="AE8" i="1" s="1"/>
  <c r="S8" i="1"/>
  <c r="X8" i="1" s="1"/>
  <c r="AF8" i="1" s="1"/>
  <c r="U8" i="1"/>
  <c r="AC8" i="1" s="1"/>
  <c r="U2" i="1"/>
  <c r="AC2" i="1" s="1"/>
  <c r="U3" i="1"/>
  <c r="AC3" i="1" s="1"/>
  <c r="U4" i="1"/>
  <c r="AC4" i="1" s="1"/>
  <c r="U5" i="1"/>
  <c r="AC5" i="1" s="1"/>
  <c r="U6" i="1"/>
  <c r="AC6" i="1" s="1"/>
  <c r="U7" i="1"/>
  <c r="AC7" i="1" s="1"/>
  <c r="U9" i="1"/>
  <c r="AC9" i="1" s="1"/>
  <c r="S9" i="1"/>
  <c r="X9" i="1" s="1"/>
  <c r="AF9" i="1" s="1"/>
  <c r="R9" i="1"/>
  <c r="W9" i="1" s="1"/>
  <c r="AE9" i="1" s="1"/>
  <c r="Q9" i="1"/>
  <c r="V9" i="1" s="1"/>
  <c r="AD9" i="1" s="1"/>
  <c r="Q7" i="1"/>
  <c r="V7" i="1" s="1"/>
  <c r="AD7" i="1" s="1"/>
  <c r="R7" i="1"/>
  <c r="W7" i="1" s="1"/>
  <c r="AE7" i="1" s="1"/>
  <c r="S7" i="1"/>
  <c r="X7" i="1" s="1"/>
  <c r="AF7" i="1" s="1"/>
  <c r="N6" i="1"/>
  <c r="Q4" i="1"/>
  <c r="V4" i="1" s="1"/>
  <c r="AD4" i="1" s="1"/>
  <c r="S6" i="1"/>
  <c r="X6" i="1" s="1"/>
  <c r="AF6" i="1" s="1"/>
  <c r="R6" i="1"/>
  <c r="W6" i="1" s="1"/>
  <c r="AE6" i="1" s="1"/>
  <c r="Q2" i="1"/>
  <c r="V2" i="1" s="1"/>
  <c r="AD2" i="1" s="1"/>
  <c r="Q3" i="1"/>
  <c r="V3" i="1" s="1"/>
  <c r="AD3" i="1" s="1"/>
  <c r="Q5" i="1"/>
  <c r="V5" i="1" s="1"/>
  <c r="AD5" i="1" s="1"/>
  <c r="Q6" i="1"/>
  <c r="V6" i="1" s="1"/>
  <c r="AD6" i="1" s="1"/>
  <c r="R3" i="1"/>
  <c r="W3" i="1" s="1"/>
  <c r="AE3" i="1" s="1"/>
  <c r="P5" i="2"/>
  <c r="AA9" i="1" l="1"/>
  <c r="AH9" i="1" s="1"/>
  <c r="AA8" i="1"/>
  <c r="AH8" i="1" s="1"/>
  <c r="AA6" i="1"/>
  <c r="AH6" i="1" s="1"/>
  <c r="AA7" i="1"/>
  <c r="AH7" i="1" s="1"/>
  <c r="T8" i="1"/>
  <c r="Y8" i="1" s="1"/>
  <c r="AG8" i="1" s="1"/>
  <c r="T9" i="1"/>
  <c r="Y9" i="1" s="1"/>
  <c r="AG9" i="1" s="1"/>
  <c r="T7" i="1"/>
  <c r="Y7" i="1" s="1"/>
  <c r="AG7" i="1" s="1"/>
  <c r="R4" i="1"/>
  <c r="W4" i="1" s="1"/>
  <c r="AE4" i="1" s="1"/>
  <c r="S4" i="1"/>
  <c r="X4" i="1" s="1"/>
  <c r="AF4" i="1" s="1"/>
  <c r="N4" i="1"/>
  <c r="S3" i="1"/>
  <c r="X3" i="1" s="1"/>
  <c r="AF3" i="1" s="1"/>
  <c r="N3" i="1"/>
  <c r="T6" i="1"/>
  <c r="Y6" i="1" s="1"/>
  <c r="AG6" i="1" s="1"/>
  <c r="AA3" i="1" l="1"/>
  <c r="AH3" i="1" s="1"/>
  <c r="AA4" i="1"/>
  <c r="AH4" i="1" s="1"/>
  <c r="T3" i="1"/>
  <c r="Y3" i="1" s="1"/>
  <c r="AG3" i="1" s="1"/>
  <c r="N2" i="1"/>
  <c r="R2" i="1"/>
  <c r="W2" i="1" s="1"/>
  <c r="AE2" i="1" s="1"/>
  <c r="S2" i="1"/>
  <c r="X2" i="1" s="1"/>
  <c r="AF2" i="1" s="1"/>
  <c r="N5" i="1"/>
  <c r="R5" i="1"/>
  <c r="W5" i="1" s="1"/>
  <c r="AE5" i="1" s="1"/>
  <c r="S5" i="1"/>
  <c r="X5" i="1" s="1"/>
  <c r="AF5" i="1" s="1"/>
  <c r="T4" i="1"/>
  <c r="Y4" i="1" s="1"/>
  <c r="AG4" i="1" s="1"/>
  <c r="AA5" i="1" l="1"/>
  <c r="AH5" i="1" s="1"/>
  <c r="AA2" i="1"/>
  <c r="AH2" i="1" s="1"/>
  <c r="T2" i="1"/>
  <c r="Y2" i="1" s="1"/>
  <c r="AG2" i="1" s="1"/>
  <c r="T5" i="1"/>
  <c r="Y5" i="1" s="1"/>
  <c r="AG5" i="1" s="1"/>
</calcChain>
</file>

<file path=xl/sharedStrings.xml><?xml version="1.0" encoding="utf-8"?>
<sst xmlns="http://schemas.openxmlformats.org/spreadsheetml/2006/main" count="1220" uniqueCount="488">
  <si>
    <t>Sl no</t>
  </si>
  <si>
    <t>Company Name</t>
  </si>
  <si>
    <t xml:space="preserve">CIN </t>
  </si>
  <si>
    <t>Company Address</t>
  </si>
  <si>
    <t>Company GST Number</t>
  </si>
  <si>
    <t>Inv date</t>
  </si>
  <si>
    <t>Inv no</t>
  </si>
  <si>
    <t>Party Name</t>
  </si>
  <si>
    <t>City name</t>
  </si>
  <si>
    <t>Type of Service</t>
  </si>
  <si>
    <t>SAC CODE</t>
  </si>
  <si>
    <t>Party state</t>
  </si>
  <si>
    <t>CGST %</t>
  </si>
  <si>
    <t>SGST %</t>
  </si>
  <si>
    <t>IGST %</t>
  </si>
  <si>
    <t>Taxable value</t>
  </si>
  <si>
    <t>IGST</t>
  </si>
  <si>
    <t>CGST</t>
  </si>
  <si>
    <t>SGST</t>
  </si>
  <si>
    <t>Total RCM payable</t>
  </si>
  <si>
    <t>Round taxable</t>
  </si>
  <si>
    <t>Round IGST</t>
  </si>
  <si>
    <t>ROUND CGST</t>
  </si>
  <si>
    <t>ROUND SGST</t>
  </si>
  <si>
    <t>ROUNF TOTAL RCM</t>
  </si>
  <si>
    <t>Haryana</t>
  </si>
  <si>
    <t>Round total amount</t>
  </si>
  <si>
    <t>Amount in Rupees</t>
  </si>
  <si>
    <t>Taxable Amount in text</t>
  </si>
  <si>
    <t>IGST Amount in text</t>
  </si>
  <si>
    <t>CGST Amount in text</t>
  </si>
  <si>
    <t>SGST Amount in text</t>
  </si>
  <si>
    <t>Total RCM Amount Amount in text</t>
  </si>
  <si>
    <t>TOTAL NET AMOUNT</t>
  </si>
  <si>
    <t>Hexa Climate Solutions Private Limited</t>
  </si>
  <si>
    <t>U35105DL2023PTC418669</t>
  </si>
  <si>
    <t>Floor 14, Tower B, Vatika Business Park, Sector 49, Sohna Road, Gurgaon-122018</t>
  </si>
  <si>
    <t>06AAGCH9318D1ZO</t>
  </si>
  <si>
    <t>RCM/23-24/11/01</t>
  </si>
  <si>
    <t>Anand Kumar Singh</t>
  </si>
  <si>
    <t>H-3, Second Floor, Jungpura Extension, Delhi - 110014</t>
  </si>
  <si>
    <t>Legal fees</t>
  </si>
  <si>
    <t>Delhi</t>
  </si>
  <si>
    <t>Seventeen Thousand Seven Hundred Only</t>
  </si>
  <si>
    <t>RCM/23-24/12/01</t>
  </si>
  <si>
    <t>PVsyst SA</t>
  </si>
  <si>
    <t>Route de la Maison-Carrée 30, 1242 Satigny, Switzerland</t>
  </si>
  <si>
    <t>Software Services</t>
  </si>
  <si>
    <t>State outside India</t>
  </si>
  <si>
    <t>Sixty Seven Thousand Four Hundred Fifty Four Only</t>
  </si>
  <si>
    <t>RCM/23-24/12/02</t>
  </si>
  <si>
    <t>Solargis S.R.O.</t>
  </si>
  <si>
    <t>Skypark Offices, Bottova 2A, Stare mesto, Bratislava I., Bratislava, Bratislavsky kraj, Slovakia - 81109</t>
  </si>
  <si>
    <t>Five Lacs Eighteen Thousand Nine Hundred Twenty Two Only</t>
  </si>
  <si>
    <t>RCM/23-24/12/03</t>
  </si>
  <si>
    <t>EMD International A/S</t>
  </si>
  <si>
    <t>Niels Jernes Vej 10, 9200, Aalborg, Denmark</t>
  </si>
  <si>
    <t>Seven Lacs Fifty Six Thousand One Hundred Thirty Nine Only</t>
  </si>
  <si>
    <t>RCM/24-25/02/01</t>
  </si>
  <si>
    <t>Hexa Renewables India Investment PTE LTD</t>
  </si>
  <si>
    <t>65, CHULIA STREET, #21-06/07, OCBC CENTRE, SINGAPORE-49513</t>
  </si>
  <si>
    <t>Corporate Guarantee Fees</t>
  </si>
  <si>
    <t>Sixty Five Lacs Eighty Six Thousand Four Hundred Eighty Nine Only</t>
  </si>
  <si>
    <t>RCM/24-25/04/01</t>
  </si>
  <si>
    <t>Energy Exemplar Pty Ltd</t>
  </si>
  <si>
    <t>17 Bagot Street, North Adelaide, South Australia - 5006</t>
  </si>
  <si>
    <t>Sixty Lacs Twelve Thousand Three Hundred Thirty Six Only</t>
  </si>
  <si>
    <t>RCM/24-25/06/01</t>
  </si>
  <si>
    <t>UL Services Group LLC</t>
  </si>
  <si>
    <t>23 British American Blvd. Latham, NY 12110 United States</t>
  </si>
  <si>
    <t>Three Lacs Fifty Six Thousand Six Hundred Twenty Three Only</t>
  </si>
  <si>
    <t>Hea Renewable Solutions Private Limited</t>
  </si>
  <si>
    <t>U35105DL2024PTC430335</t>
  </si>
  <si>
    <t>06AAHCH3225L1ZK</t>
  </si>
  <si>
    <t>Mohit Gupta Advocate</t>
  </si>
  <si>
    <t>Dojhana (3-N), Jhajjar, Haryana - 124102</t>
  </si>
  <si>
    <t>Eighty Two Thousand Seven Hundred Forty Eight Only</t>
  </si>
  <si>
    <t>Registered</t>
  </si>
  <si>
    <t>S. S. Rana &amp; Co.</t>
  </si>
  <si>
    <t>Sarthak Advocates &amp; Solicitors</t>
  </si>
  <si>
    <t>Shardul Amarchand Mangaldas &amp; Co.</t>
  </si>
  <si>
    <t>ANAND KUMAR SINGH</t>
  </si>
  <si>
    <t>S.S. Rana &amp; Co.</t>
  </si>
  <si>
    <t>ALLY CAR RENTAL</t>
  </si>
  <si>
    <t>Travelling (hired Taxi)</t>
  </si>
  <si>
    <t>Trilegal - Common Pool</t>
  </si>
  <si>
    <t>GST Number</t>
  </si>
  <si>
    <t>Pan Number</t>
  </si>
  <si>
    <t>Address</t>
  </si>
  <si>
    <t>State Code</t>
  </si>
  <si>
    <t>States Name</t>
  </si>
  <si>
    <t>REL Kumbhari Solar Project 1 Private Limited</t>
  </si>
  <si>
    <t>27AAMCR1113N1Z6</t>
  </si>
  <si>
    <t>AAMCR1113N</t>
  </si>
  <si>
    <t>BC 105 havlock road belgaum</t>
  </si>
  <si>
    <t>Jammu And Kashmir</t>
  </si>
  <si>
    <t>REL Kumbhari Solar Project 2 Private Limited</t>
  </si>
  <si>
    <t>27AAMCR1217P1ZX</t>
  </si>
  <si>
    <t>AAMCR1217P</t>
  </si>
  <si>
    <t>Himachal Pradesh</t>
  </si>
  <si>
    <t>List of services</t>
  </si>
  <si>
    <t>SAC code</t>
  </si>
  <si>
    <t>REL Kumbhari Solar Project 3 Private Limited</t>
  </si>
  <si>
    <t>27AAMCR1585J1ZU</t>
  </si>
  <si>
    <t>AAMCR1585J</t>
  </si>
  <si>
    <t>Punjab</t>
  </si>
  <si>
    <t>GTA Services</t>
  </si>
  <si>
    <t>REL Kumbhari Solar Project 4 Private Limited</t>
  </si>
  <si>
    <t>27AAMCR3051K1Z3</t>
  </si>
  <si>
    <t>AAMCR3051K</t>
  </si>
  <si>
    <t>Chandigarh</t>
  </si>
  <si>
    <t>REL Kumbhari Solar Project 5 Private Limited</t>
  </si>
  <si>
    <t>27AAMCR3052L1Z0</t>
  </si>
  <si>
    <t>AAMCR3052L</t>
  </si>
  <si>
    <t>Uttarakhand</t>
  </si>
  <si>
    <t>REL Kumbhari Solar Project 6 Private Limited</t>
  </si>
  <si>
    <t>27AAMCR9750P1ZB</t>
  </si>
  <si>
    <t>AAMCR9750P</t>
  </si>
  <si>
    <t>Director fees</t>
  </si>
  <si>
    <t>REL Kumbhari Solar Project 7 Private Limited</t>
  </si>
  <si>
    <t>27AANCR2134A1ZP</t>
  </si>
  <si>
    <t>AANCR2134A</t>
  </si>
  <si>
    <t>Security services</t>
  </si>
  <si>
    <t>REL Kumbhari Solar Project 8 Private Limited</t>
  </si>
  <si>
    <t>27AANCR2140L1Z4</t>
  </si>
  <si>
    <t>AANCR2140L</t>
  </si>
  <si>
    <t>Rajasthan</t>
  </si>
  <si>
    <t>Guest house rent</t>
  </si>
  <si>
    <t>REL Kumbhari Solar Project 9 Private Limited</t>
  </si>
  <si>
    <t>27AANCR2871A1ZD</t>
  </si>
  <si>
    <t>AANCR2871A</t>
  </si>
  <si>
    <t>Uttar Pradesh</t>
  </si>
  <si>
    <t>REL Kumbhari Solar Project 10 Private Limited</t>
  </si>
  <si>
    <t>27AANCR3067Q1ZI</t>
  </si>
  <si>
    <t>AANCR3067Q</t>
  </si>
  <si>
    <t>Bihar</t>
  </si>
  <si>
    <t>REL WARDHA SOLAR PROJECT 1 PRIVATE LIMITED</t>
  </si>
  <si>
    <t>27AANCR3134L1Z0</t>
  </si>
  <si>
    <t>AANCR3134L</t>
  </si>
  <si>
    <t>Sikkim</t>
  </si>
  <si>
    <t>REL WARDHA SOLAR PROJECT 2 PRIVATE LIMITED</t>
  </si>
  <si>
    <t>27AANCR3248P1ZL</t>
  </si>
  <si>
    <t>AANCR3248P</t>
  </si>
  <si>
    <t>Arunachal Pradesh</t>
  </si>
  <si>
    <t>REL WARDHA SOLAR PROJECT 3 PRIVATE LIMITED</t>
  </si>
  <si>
    <t>27AANCR3247C1ZD</t>
  </si>
  <si>
    <t>AANCR3247C</t>
  </si>
  <si>
    <t>Nagaland</t>
  </si>
  <si>
    <t>REL WARDHA SOLAR PROJECT 4 PRIVATE LIMITED</t>
  </si>
  <si>
    <t>27AANCR4018F1ZC</t>
  </si>
  <si>
    <t>AANCR4018F</t>
  </si>
  <si>
    <t>Manipur</t>
  </si>
  <si>
    <t>REL WARDHA SOLAR PROJECT 5 PRIVATE LIMITED</t>
  </si>
  <si>
    <t>27AANCR4055L1ZU</t>
  </si>
  <si>
    <t>AANCR4055L</t>
  </si>
  <si>
    <t>Mizoram</t>
  </si>
  <si>
    <t>RAVINDRA ENERGY MHSP LLP</t>
  </si>
  <si>
    <t>27ABEFR6216N1ZS</t>
  </si>
  <si>
    <t>ABEFR6216N</t>
  </si>
  <si>
    <t>Tripura</t>
  </si>
  <si>
    <t>Meghalaya</t>
  </si>
  <si>
    <t>Assam</t>
  </si>
  <si>
    <t>West Bengal</t>
  </si>
  <si>
    <t>Jharkhand</t>
  </si>
  <si>
    <t>Orissa</t>
  </si>
  <si>
    <t>Chhattisgarh</t>
  </si>
  <si>
    <t>Madhya Pradesh</t>
  </si>
  <si>
    <t>Gujarat</t>
  </si>
  <si>
    <t>Dadar and Nagar Haveli &amp; Daman and Diu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</si>
  <si>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</si>
  <si>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</si>
  <si>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</si>
  <si>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</si>
  <si>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</si>
  <si>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</si>
  <si>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</si>
  <si>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</t>
  </si>
  <si>
    <t>Telangana</t>
  </si>
  <si>
    <t>Andhra Pradesh</t>
  </si>
  <si>
    <t>Ladakh</t>
  </si>
  <si>
    <t>RCM/21-22/1</t>
  </si>
  <si>
    <t>Rajshekhar B Kore(Advocate)</t>
  </si>
  <si>
    <t>11,600</t>
  </si>
  <si>
    <t/>
  </si>
  <si>
    <t>1,044</t>
  </si>
  <si>
    <t>2,088</t>
  </si>
  <si>
    <t>13,688</t>
  </si>
  <si>
    <t>RCM/22-23/1</t>
  </si>
  <si>
    <t>Abhay Nevagi &amp; Associates</t>
  </si>
  <si>
    <t>2,80,000</t>
  </si>
  <si>
    <t>25,200</t>
  </si>
  <si>
    <t>50,400</t>
  </si>
  <si>
    <t>3,30,400</t>
  </si>
  <si>
    <t>RCM/22-23/2</t>
  </si>
  <si>
    <t>1,70,000</t>
  </si>
  <si>
    <t>15,300</t>
  </si>
  <si>
    <t>30,600</t>
  </si>
  <si>
    <t>2,00,600</t>
  </si>
  <si>
    <t>RCM/22-23/3</t>
  </si>
  <si>
    <t>1,00,000</t>
  </si>
  <si>
    <t>9,000</t>
  </si>
  <si>
    <t>18,000</t>
  </si>
  <si>
    <t>1,18,000</t>
  </si>
  <si>
    <t>RCM/22-23/4</t>
  </si>
  <si>
    <t>1,60,000</t>
  </si>
  <si>
    <t>14,400</t>
  </si>
  <si>
    <t>28,800</t>
  </si>
  <si>
    <t>1,88,800</t>
  </si>
  <si>
    <t>RCM/22-23/5</t>
  </si>
  <si>
    <t>60,000</t>
  </si>
  <si>
    <t>5,400</t>
  </si>
  <si>
    <t>10,800</t>
  </si>
  <si>
    <t>70,800</t>
  </si>
  <si>
    <t>RCM/22-23/6</t>
  </si>
  <si>
    <t>2,40,000</t>
  </si>
  <si>
    <t>21,600</t>
  </si>
  <si>
    <t>43,200</t>
  </si>
  <si>
    <t>2,83,200</t>
  </si>
  <si>
    <t>RCM/22-23/7</t>
  </si>
  <si>
    <t>2,10,000</t>
  </si>
  <si>
    <t>18,900</t>
  </si>
  <si>
    <t>37,800</t>
  </si>
  <si>
    <t>2,47,800</t>
  </si>
  <si>
    <t>RCM/22-23/8</t>
  </si>
  <si>
    <t>75,000</t>
  </si>
  <si>
    <t>6,750</t>
  </si>
  <si>
    <t>13,500</t>
  </si>
  <si>
    <t>88,500</t>
  </si>
  <si>
    <t>RCM/22-23/9</t>
  </si>
  <si>
    <t>Salim Hussain Bagwan</t>
  </si>
  <si>
    <t>Guest House Rent</t>
  </si>
  <si>
    <t>6,000</t>
  </si>
  <si>
    <t>540</t>
  </si>
  <si>
    <t>1,080</t>
  </si>
  <si>
    <t>7,080</t>
  </si>
  <si>
    <t>RCM/22-23/10</t>
  </si>
  <si>
    <t>RCM/22-23/11</t>
  </si>
  <si>
    <t>RAJE CRANE SERVICE</t>
  </si>
  <si>
    <t>4,000</t>
  </si>
  <si>
    <t>100</t>
  </si>
  <si>
    <t>200</t>
  </si>
  <si>
    <t>4,200</t>
  </si>
  <si>
    <t>RCM/22-23/12</t>
  </si>
  <si>
    <t>Arvind Khoushi</t>
  </si>
  <si>
    <t>1,000</t>
  </si>
  <si>
    <t>25</t>
  </si>
  <si>
    <t>50</t>
  </si>
  <si>
    <t>1,050</t>
  </si>
  <si>
    <t>RCM/22-23/13</t>
  </si>
  <si>
    <t>7,000</t>
  </si>
  <si>
    <t>630</t>
  </si>
  <si>
    <t>1,260</t>
  </si>
  <si>
    <t>8,260</t>
  </si>
  <si>
    <t>RCM/22-23-14</t>
  </si>
  <si>
    <t>VRL LOGISTICS LTD</t>
  </si>
  <si>
    <t>980</t>
  </si>
  <si>
    <t>49</t>
  </si>
  <si>
    <t>1,029</t>
  </si>
  <si>
    <t>RCM/22-23/15</t>
  </si>
  <si>
    <t>1,20,000</t>
  </si>
  <si>
    <t>1,41,600</t>
  </si>
  <si>
    <t>RCM/22-23/16</t>
  </si>
  <si>
    <t>RCM/22-23/17</t>
  </si>
  <si>
    <t>RCM/22-23/18</t>
  </si>
  <si>
    <t>RCM/22-23/19</t>
  </si>
  <si>
    <t>45,000</t>
  </si>
  <si>
    <t>4,050</t>
  </si>
  <si>
    <t>8,100</t>
  </si>
  <si>
    <t>53,100</t>
  </si>
  <si>
    <t>RCM/22-23/20</t>
  </si>
  <si>
    <t>846</t>
  </si>
  <si>
    <t>21</t>
  </si>
  <si>
    <t>42</t>
  </si>
  <si>
    <t>888</t>
  </si>
  <si>
    <t>RCM/22-23/21</t>
  </si>
  <si>
    <t>854</t>
  </si>
  <si>
    <t>43</t>
  </si>
  <si>
    <t>897</t>
  </si>
  <si>
    <t>RCM/22-23/22</t>
  </si>
  <si>
    <t>310</t>
  </si>
  <si>
    <t>8</t>
  </si>
  <si>
    <t>16</t>
  </si>
  <si>
    <t>326</t>
  </si>
  <si>
    <t>RCM/22-23/23</t>
  </si>
  <si>
    <t>594</t>
  </si>
  <si>
    <t>31</t>
  </si>
  <si>
    <t>30</t>
  </si>
  <si>
    <t>625</t>
  </si>
  <si>
    <t>RCM/22-23/24</t>
  </si>
  <si>
    <t>266</t>
  </si>
  <si>
    <t>7</t>
  </si>
  <si>
    <t>13</t>
  </si>
  <si>
    <t>279</t>
  </si>
  <si>
    <t>RCM/22-23/25</t>
  </si>
  <si>
    <t>720</t>
  </si>
  <si>
    <t>36</t>
  </si>
  <si>
    <t>756</t>
  </si>
  <si>
    <t>RCM/22-23/26</t>
  </si>
  <si>
    <t>TCI EXPRESS</t>
  </si>
  <si>
    <t>300</t>
  </si>
  <si>
    <t>15</t>
  </si>
  <si>
    <t>315</t>
  </si>
  <si>
    <t>RCM/22-23/27</t>
  </si>
  <si>
    <t>Pravin s Patil</t>
  </si>
  <si>
    <t>5,000</t>
  </si>
  <si>
    <t>125</t>
  </si>
  <si>
    <t>250</t>
  </si>
  <si>
    <t>5,250</t>
  </si>
  <si>
    <t>RCM/22-23/28</t>
  </si>
  <si>
    <t>90,000</t>
  </si>
  <si>
    <t>16,200</t>
  </si>
  <si>
    <t>1,06,200</t>
  </si>
  <si>
    <t>RCM/22-23/29</t>
  </si>
  <si>
    <t>999</t>
  </si>
  <si>
    <t>1,049</t>
  </si>
  <si>
    <t>RCM/22-23/30</t>
  </si>
  <si>
    <t>6</t>
  </si>
  <si>
    <t>263</t>
  </si>
  <si>
    <t>RCM/22-23/31</t>
  </si>
  <si>
    <t>800</t>
  </si>
  <si>
    <t>40</t>
  </si>
  <si>
    <t>840</t>
  </si>
  <si>
    <t>RCM/23-24/1</t>
  </si>
  <si>
    <t>M.A Shaik</t>
  </si>
  <si>
    <t>450</t>
  </si>
  <si>
    <t>900</t>
  </si>
  <si>
    <t>5,900</t>
  </si>
  <si>
    <t>RCM/23-24/2</t>
  </si>
  <si>
    <t>Vinayak N Deshpande</t>
  </si>
  <si>
    <t>2,000</t>
  </si>
  <si>
    <t>180</t>
  </si>
  <si>
    <t>360</t>
  </si>
  <si>
    <t>2,360</t>
  </si>
  <si>
    <t>RCM/23-24/3</t>
  </si>
  <si>
    <t>RCM/23-24/4</t>
  </si>
  <si>
    <t>9,500</t>
  </si>
  <si>
    <t>855</t>
  </si>
  <si>
    <t>1,710</t>
  </si>
  <si>
    <t>11,210</t>
  </si>
  <si>
    <t>RCM/23-24/5</t>
  </si>
  <si>
    <t>1,376</t>
  </si>
  <si>
    <t>69</t>
  </si>
  <si>
    <t>1,445</t>
  </si>
  <si>
    <t>RCM/23-24/6</t>
  </si>
  <si>
    <t>SOLAPUR GOODS TRANSPORT</t>
  </si>
  <si>
    <t>160</t>
  </si>
  <si>
    <t>4</t>
  </si>
  <si>
    <t>168</t>
  </si>
  <si>
    <t>RCM/23-24/7</t>
  </si>
  <si>
    <t>2,670</t>
  </si>
  <si>
    <t>67</t>
  </si>
  <si>
    <t>134</t>
  </si>
  <si>
    <t>2,804</t>
  </si>
  <si>
    <t>RCM/23-24/8</t>
  </si>
  <si>
    <t>950</t>
  </si>
  <si>
    <t>48</t>
  </si>
  <si>
    <t>998</t>
  </si>
  <si>
    <t>RCM/23-24/9</t>
  </si>
  <si>
    <t>359</t>
  </si>
  <si>
    <t>18</t>
  </si>
  <si>
    <t>377</t>
  </si>
  <si>
    <t>RCM/23-24/10</t>
  </si>
  <si>
    <t>340</t>
  </si>
  <si>
    <t>9</t>
  </si>
  <si>
    <t>17</t>
  </si>
  <si>
    <t>357</t>
  </si>
  <si>
    <t>RCM/23-24/11</t>
  </si>
  <si>
    <t>Vijayanand travels</t>
  </si>
  <si>
    <t>35</t>
  </si>
  <si>
    <t>2</t>
  </si>
  <si>
    <t>37</t>
  </si>
  <si>
    <t>RCM/23-24/12</t>
  </si>
  <si>
    <t>Mukund D Vadapurkar (Kulkarni)</t>
  </si>
  <si>
    <t>RCM/23-24/13</t>
  </si>
  <si>
    <t xml:space="preserve">Akansha Tourism and Logitistics </t>
  </si>
  <si>
    <t>105</t>
  </si>
  <si>
    <t>3</t>
  </si>
  <si>
    <t>5</t>
  </si>
  <si>
    <t>110</t>
  </si>
  <si>
    <t>RCM/23-24/14</t>
  </si>
  <si>
    <t>RCM/23-24/15</t>
  </si>
  <si>
    <t>4,500</t>
  </si>
  <si>
    <t>405</t>
  </si>
  <si>
    <t>810</t>
  </si>
  <si>
    <t>5,310</t>
  </si>
  <si>
    <t>RCM/23-24/16</t>
  </si>
  <si>
    <t>6,40,000</t>
  </si>
  <si>
    <t>57,600</t>
  </si>
  <si>
    <t>1,15,200</t>
  </si>
  <si>
    <t>7,55,200</t>
  </si>
  <si>
    <t>RCM/23-24/17</t>
  </si>
  <si>
    <t>GUNINA Commercials Pvt. Ltd. (Logistic Div.)</t>
  </si>
  <si>
    <t>480</t>
  </si>
  <si>
    <t>12</t>
  </si>
  <si>
    <t>24</t>
  </si>
  <si>
    <t>504</t>
  </si>
  <si>
    <t>RCM/23-24/18</t>
  </si>
  <si>
    <t>3,80,000</t>
  </si>
  <si>
    <t>34,200</t>
  </si>
  <si>
    <t>68,400</t>
  </si>
  <si>
    <t>4,48,400</t>
  </si>
  <si>
    <t>RCM/23-24/19</t>
  </si>
  <si>
    <t>500</t>
  </si>
  <si>
    <t>45</t>
  </si>
  <si>
    <t>90</t>
  </si>
  <si>
    <t>590</t>
  </si>
  <si>
    <t>RCM/23-24/20</t>
  </si>
  <si>
    <t>M A Shaikh (Advocate)</t>
  </si>
  <si>
    <t>7,200</t>
  </si>
  <si>
    <t>648</t>
  </si>
  <si>
    <t>1,296</t>
  </si>
  <si>
    <t>8,496</t>
  </si>
  <si>
    <t>RCM/23-24/21</t>
  </si>
  <si>
    <t>Gold event Tours &amp; Travels</t>
  </si>
  <si>
    <t>7,590</t>
  </si>
  <si>
    <t>190</t>
  </si>
  <si>
    <t>380</t>
  </si>
  <si>
    <t>7,970</t>
  </si>
  <si>
    <t>RCM/23-24/22</t>
  </si>
  <si>
    <t>7,400</t>
  </si>
  <si>
    <t>666</t>
  </si>
  <si>
    <t>1,332</t>
  </si>
  <si>
    <t>8,732</t>
  </si>
  <si>
    <t>RCM/23-24/23</t>
  </si>
  <si>
    <t>1,500</t>
  </si>
  <si>
    <t>135</t>
  </si>
  <si>
    <t>270</t>
  </si>
  <si>
    <t>1,770</t>
  </si>
  <si>
    <t>RCM/23-24/24</t>
  </si>
  <si>
    <t>RCM/23-24/25</t>
  </si>
  <si>
    <t>RCM/23-24/26</t>
  </si>
  <si>
    <t>Samir N. Mashale, Advocate</t>
  </si>
  <si>
    <t>8,300</t>
  </si>
  <si>
    <t>747</t>
  </si>
  <si>
    <t>1,494</t>
  </si>
  <si>
    <t>9,794</t>
  </si>
  <si>
    <t>RCM/23-24/27</t>
  </si>
  <si>
    <t>RCM/23-24/28</t>
  </si>
  <si>
    <t>RCM/23-24/29</t>
  </si>
  <si>
    <t>2,800</t>
  </si>
  <si>
    <t>252</t>
  </si>
  <si>
    <t>3,304</t>
  </si>
  <si>
    <t>RCM/23-24/30</t>
  </si>
  <si>
    <t>RCM/23-24/31</t>
  </si>
  <si>
    <t>SURUKRAPA TOURS &amp; TRAVELS</t>
  </si>
  <si>
    <t>9,940</t>
  </si>
  <si>
    <t>249</t>
  </si>
  <si>
    <t>497</t>
  </si>
  <si>
    <t>10,437</t>
  </si>
  <si>
    <t>RCM/23-24/32</t>
  </si>
  <si>
    <t>4,720</t>
  </si>
  <si>
    <t>RCM/24-25/1</t>
  </si>
  <si>
    <t>Nabilal Central tours &amp; travels</t>
  </si>
  <si>
    <t>3,000</t>
  </si>
  <si>
    <t>75</t>
  </si>
  <si>
    <t>150</t>
  </si>
  <si>
    <t>3,150</t>
  </si>
  <si>
    <t>RCM/24-25/2</t>
  </si>
  <si>
    <t>1,700</t>
  </si>
  <si>
    <t>86</t>
  </si>
  <si>
    <t>1,785</t>
  </si>
  <si>
    <t>RCM/24-25/3</t>
  </si>
  <si>
    <t>RCM/24-25/4</t>
  </si>
  <si>
    <t>ACPL</t>
  </si>
  <si>
    <t>1,400</t>
  </si>
  <si>
    <t>70</t>
  </si>
  <si>
    <t>1,470</t>
  </si>
  <si>
    <t>RCM/24-25/5</t>
  </si>
  <si>
    <t>RCM/24-25/6</t>
  </si>
  <si>
    <t>3,250</t>
  </si>
  <si>
    <t>293</t>
  </si>
  <si>
    <t>585</t>
  </si>
  <si>
    <t>3,835</t>
  </si>
  <si>
    <t>RCM/24-25/7</t>
  </si>
  <si>
    <t>1,370</t>
  </si>
  <si>
    <t>123</t>
  </si>
  <si>
    <t>247</t>
  </si>
  <si>
    <t>1,617</t>
  </si>
  <si>
    <t>RCM/24-25/8</t>
  </si>
  <si>
    <t>RCM/24-25/9</t>
  </si>
  <si>
    <t>Auto Charges</t>
  </si>
  <si>
    <t>85</t>
  </si>
  <si>
    <t>RCM/24-25/10</t>
  </si>
  <si>
    <t>Laxmibai Yallappa Khandare</t>
  </si>
  <si>
    <t>32,000</t>
  </si>
  <si>
    <t>2,880</t>
  </si>
  <si>
    <t>5,760</t>
  </si>
  <si>
    <t>37,760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</si>
</sst>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0.0%"/>
    <numFmt numFmtId="167" formatCode="dd/mm/yyyy;@"/>
    <numFmt numFmtId="168" formatCode="[$-809]dd\ mmmm\ yy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165" fontId="0" fillId="0" borderId="1" xfId="2" applyNumberFormat="1" applyFont="1" applyBorder="1"/>
    <xf numFmtId="43" fontId="2" fillId="2" borderId="1" xfId="1" applyFont="1" applyFill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164" fontId="0" fillId="0" borderId="1" xfId="3" applyFont="1" applyBorder="1"/>
    <xf numFmtId="165" fontId="0" fillId="0" borderId="1" xfId="3" applyNumberFormat="1" applyFont="1" applyBorder="1"/>
    <xf numFmtId="43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0" fillId="0" borderId="1" xfId="0" applyNumberFormat="1" applyBorder="1"/>
    <xf numFmtId="165" fontId="0" fillId="0" borderId="1" xfId="2" applyNumberFormat="1" applyFont="1" applyFill="1" applyBorder="1"/>
    <xf numFmtId="165" fontId="0" fillId="0" borderId="1" xfId="3" applyNumberFormat="1" applyFont="1" applyFill="1" applyBorder="1"/>
    <xf numFmtId="164" fontId="0" fillId="0" borderId="1" xfId="3" applyFont="1" applyFill="1" applyBorder="1"/>
    <xf numFmtId="165" fontId="0" fillId="0" borderId="1" xfId="4" applyNumberFormat="1" applyFont="1" applyBorder="1"/>
    <xf numFmtId="165" fontId="0" fillId="0" borderId="1" xfId="4" applyNumberFormat="1" applyFont="1" applyFill="1" applyBorder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9" fontId="0" fillId="0" borderId="1" xfId="0" applyNumberFormat="1" applyBorder="1"/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quotePrefix="1" applyBorder="1"/>
    <xf numFmtId="165" fontId="0" fillId="3" borderId="1" xfId="2" applyNumberFormat="1" applyFont="1" applyFill="1" applyBorder="1"/>
    <xf numFmtId="0" fontId="0" fillId="0" borderId="1" xfId="0" quotePrefix="1" applyBorder="1" applyAlignment="1">
      <alignment horizontal="center"/>
    </xf>
    <xf numFmtId="167" fontId="2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/>
    <xf numFmtId="168" fontId="0" fillId="0" borderId="1" xfId="0" applyNumberFormat="1" applyBorder="1"/>
    <xf numFmtId="165" fontId="0" fillId="0" borderId="0" xfId="0" applyNumberFormat="1"/>
    <xf numFmtId="165" fontId="0" fillId="0" borderId="0" xfId="4" applyNumberFormat="1" applyFont="1" applyFill="1" applyBorder="1"/>
  </cellXfs>
  <cellStyles count="7">
    <cellStyle name="Comma" xfId="3" builtinId="3"/>
    <cellStyle name="Comma 2" xfId="2" xr:uid="{3426F78E-F15B-4C36-8D2A-1E1D3666C2A8}"/>
    <cellStyle name="Comma 2 2" xfId="6" xr:uid="{694CCF33-CF7D-4691-B765-B96D109A5607}"/>
    <cellStyle name="Comma 3" xfId="1" xr:uid="{9146EFD2-8F03-4181-B993-008091EAD723}"/>
    <cellStyle name="Comma 4" xfId="4" xr:uid="{63413CA0-4149-46A2-8D73-989A90C889B5}"/>
    <cellStyle name="Comma 5" xfId="5" xr:uid="{E54901BB-F003-4EEA-958D-860FE8A0D17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9"/>
  <sheetViews>
    <sheetView tabSelected="1" topLeftCell="H1" zoomScale="90" zoomScaleNormal="90" workbookViewId="0">
      <selection activeCell="A9" sqref="A9"/>
    </sheetView>
  </sheetViews>
  <sheetFormatPr defaultRowHeight="14.45"/>
  <cols>
    <col min="1" max="1" width="9.42578125" bestFit="1" customWidth="1"/>
    <col min="2" max="2" width="32.42578125" bestFit="1" customWidth="1"/>
    <col min="3" max="3" width="22.5703125" bestFit="1" customWidth="1"/>
    <col min="4" max="5" width="32.42578125" customWidth="1"/>
    <col min="6" max="6" width="18.28515625" style="30" bestFit="1" customWidth="1"/>
    <col min="7" max="7" width="15.7109375" bestFit="1" customWidth="1"/>
    <col min="8" max="8" width="44.42578125" bestFit="1" customWidth="1"/>
    <col min="9" max="9" width="83.7109375" bestFit="1" customWidth="1"/>
    <col min="10" max="10" width="21.7109375" bestFit="1" customWidth="1"/>
    <col min="11" max="11" width="20.5703125" bestFit="1" customWidth="1"/>
    <col min="12" max="12" width="20.7109375" bestFit="1" customWidth="1"/>
    <col min="13" max="14" width="17.7109375" bestFit="1" customWidth="1"/>
    <col min="15" max="15" width="16.7109375" bestFit="1" customWidth="1"/>
    <col min="16" max="16" width="26.28515625" bestFit="1" customWidth="1"/>
    <col min="17" max="17" width="14" bestFit="1" customWidth="1"/>
    <col min="18" max="19" width="15" bestFit="1" customWidth="1"/>
    <col min="20" max="20" width="30.28515625" bestFit="1" customWidth="1"/>
    <col min="21" max="21" width="26.7109375" customWidth="1"/>
    <col min="22" max="22" width="22.28515625" customWidth="1"/>
    <col min="23" max="24" width="24.42578125" customWidth="1"/>
    <col min="25" max="25" width="31.42578125" customWidth="1"/>
    <col min="26" max="26" width="22.7109375" customWidth="1"/>
    <col min="27" max="27" width="24.5703125" customWidth="1"/>
    <col min="28" max="28" width="67" bestFit="1" customWidth="1"/>
    <col min="29" max="29" width="28.5703125" bestFit="1" customWidth="1"/>
    <col min="30" max="30" width="16.7109375" bestFit="1" customWidth="1"/>
    <col min="31" max="32" width="18" bestFit="1" customWidth="1"/>
    <col min="33" max="33" width="27.7109375" bestFit="1" customWidth="1"/>
    <col min="34" max="34" width="14.7109375" bestFit="1" customWidth="1"/>
  </cols>
  <sheetData>
    <row r="1" spans="1:34" s="25" customFormat="1" ht="28.9">
      <c r="A1" s="23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9" t="s">
        <v>5</v>
      </c>
      <c r="G1" s="23" t="s">
        <v>6</v>
      </c>
      <c r="H1" s="23" t="s">
        <v>7</v>
      </c>
      <c r="I1" s="1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3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0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21" t="s">
        <v>26</v>
      </c>
      <c r="AB1" s="21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</row>
    <row r="2" spans="1:34">
      <c r="A2" s="28">
        <v>1</v>
      </c>
      <c r="B2" s="1" t="s">
        <v>34</v>
      </c>
      <c r="C2" s="1" t="s">
        <v>35</v>
      </c>
      <c r="D2" s="1" t="s">
        <v>36</v>
      </c>
      <c r="E2" s="1" t="s">
        <v>37</v>
      </c>
      <c r="F2" s="31">
        <v>45351</v>
      </c>
      <c r="G2" s="1" t="s">
        <v>38</v>
      </c>
      <c r="H2" s="1" t="s">
        <v>39</v>
      </c>
      <c r="I2" s="1" t="s">
        <v>40</v>
      </c>
      <c r="J2" s="1" t="s">
        <v>41</v>
      </c>
      <c r="K2" s="1">
        <f>IF(ISBLANK(J2),0,VLOOKUP(J2,Sheet2!$U$7:$V$14,2,0))</f>
        <v>998211</v>
      </c>
      <c r="L2" s="1" t="s">
        <v>42</v>
      </c>
      <c r="M2" s="5">
        <v>0.09</v>
      </c>
      <c r="N2" s="5">
        <f t="shared" ref="N2:N3" si="0">M2</f>
        <v>0.09</v>
      </c>
      <c r="O2" s="20">
        <v>0.18</v>
      </c>
      <c r="P2" s="2">
        <v>15000</v>
      </c>
      <c r="Q2" s="27">
        <f t="shared" ref="Q2:Q6" si="1">IF($Z$1=L2,0,P2*O2)</f>
        <v>2700</v>
      </c>
      <c r="R2" s="9">
        <f t="shared" ref="R2:R6" si="2">IF($Z$1=L2,P2*M2,0)</f>
        <v>0</v>
      </c>
      <c r="S2" s="2">
        <f t="shared" ref="S2:S6" si="3">IF($Z$1=L2,P2*M2,0)</f>
        <v>0</v>
      </c>
      <c r="T2" s="4">
        <f>SUM(Q2:S2)</f>
        <v>2700</v>
      </c>
      <c r="U2" s="2">
        <f t="shared" ref="U2:U9" si="4">ROUND(P2,2)</f>
        <v>15000</v>
      </c>
      <c r="V2" s="2">
        <f t="shared" ref="V2:V9" si="5">ROUND(Q2,2)</f>
        <v>2700</v>
      </c>
      <c r="W2" s="2">
        <f t="shared" ref="W2:W9" si="6">ROUND(R2,2)</f>
        <v>0</v>
      </c>
      <c r="X2" s="2">
        <f t="shared" ref="X2:X9" si="7">ROUND(S2,2)</f>
        <v>0</v>
      </c>
      <c r="Y2" s="2">
        <f t="shared" ref="Y2:Y9" si="8">ROUND(T2,2)</f>
        <v>2700</v>
      </c>
      <c r="Z2" s="1"/>
      <c r="AA2" s="13">
        <f t="shared" ref="AA2:AA7" si="9">SUBTOTAL(9,U2:X2)</f>
        <v>17700</v>
      </c>
      <c r="AB2" s="1" t="s">
        <v>43</v>
      </c>
      <c r="AC2" s="1" t="str">
        <f t="shared" ref="AC2:AC9" si="10">TEXT(U2,"#,##,###")</f>
        <v>15,000</v>
      </c>
      <c r="AD2" s="1" t="str">
        <f t="shared" ref="AD2:AD9" si="11">TEXT(V2,"#,##,###")</f>
        <v>2,700</v>
      </c>
      <c r="AE2" s="1" t="str">
        <f t="shared" ref="AE2:AE9" si="12">TEXT(W2,"#,##,###")</f>
        <v/>
      </c>
      <c r="AF2" s="1" t="str">
        <f t="shared" ref="AF2:AF9" si="13">TEXT(X2,"#,##,###")</f>
        <v/>
      </c>
      <c r="AG2" s="1" t="str">
        <f t="shared" ref="AG2:AG9" si="14">TEXT(Y2,"#,##,###")</f>
        <v>2,700</v>
      </c>
      <c r="AH2" s="1" t="str">
        <f t="shared" ref="AH2:AH9" si="15">TEXT(AA2,"#,##,###")</f>
        <v>17,700</v>
      </c>
    </row>
    <row r="3" spans="1:34">
      <c r="A3" s="28">
        <f>A2+1</f>
        <v>2</v>
      </c>
      <c r="B3" s="1" t="s">
        <v>34</v>
      </c>
      <c r="C3" s="1" t="s">
        <v>35</v>
      </c>
      <c r="D3" s="1" t="s">
        <v>36</v>
      </c>
      <c r="E3" s="1" t="s">
        <v>37</v>
      </c>
      <c r="F3" s="31">
        <v>45357</v>
      </c>
      <c r="G3" s="1" t="s">
        <v>44</v>
      </c>
      <c r="H3" s="1" t="s">
        <v>45</v>
      </c>
      <c r="I3" s="1" t="s">
        <v>46</v>
      </c>
      <c r="J3" s="1" t="s">
        <v>47</v>
      </c>
      <c r="K3" s="1">
        <f>IF(ISBLANK(J3),0,VLOOKUP(J3,Sheet2!$U$7:$V$14,2,0))</f>
        <v>997331</v>
      </c>
      <c r="L3" s="1" t="s">
        <v>48</v>
      </c>
      <c r="M3" s="5">
        <v>0.09</v>
      </c>
      <c r="N3" s="5">
        <f t="shared" si="0"/>
        <v>0.09</v>
      </c>
      <c r="O3" s="20">
        <v>0.18</v>
      </c>
      <c r="P3" s="2">
        <v>57163.98</v>
      </c>
      <c r="Q3" s="27">
        <f t="shared" si="1"/>
        <v>10289.5164</v>
      </c>
      <c r="R3" s="9">
        <f t="shared" si="2"/>
        <v>0</v>
      </c>
      <c r="S3" s="2">
        <f t="shared" si="3"/>
        <v>0</v>
      </c>
      <c r="T3" s="8">
        <f t="shared" ref="T3:T6" si="16">SUM(Q3:S3)</f>
        <v>10289.5164</v>
      </c>
      <c r="U3" s="2">
        <f t="shared" si="4"/>
        <v>57163.98</v>
      </c>
      <c r="V3" s="2">
        <f t="shared" si="5"/>
        <v>10289.52</v>
      </c>
      <c r="W3" s="2">
        <f t="shared" si="6"/>
        <v>0</v>
      </c>
      <c r="X3" s="2">
        <f t="shared" si="7"/>
        <v>0</v>
      </c>
      <c r="Y3" s="2">
        <f t="shared" si="8"/>
        <v>10289.52</v>
      </c>
      <c r="Z3" s="1"/>
      <c r="AA3" s="13">
        <f t="shared" si="9"/>
        <v>67453.5</v>
      </c>
      <c r="AB3" s="1" t="s">
        <v>49</v>
      </c>
      <c r="AC3" s="1" t="str">
        <f t="shared" si="10"/>
        <v>57,164</v>
      </c>
      <c r="AD3" s="1" t="str">
        <f t="shared" si="11"/>
        <v>10,290</v>
      </c>
      <c r="AE3" s="1" t="str">
        <f t="shared" si="12"/>
        <v/>
      </c>
      <c r="AF3" s="1" t="str">
        <f t="shared" si="13"/>
        <v/>
      </c>
      <c r="AG3" s="1" t="str">
        <f t="shared" si="14"/>
        <v>10,290</v>
      </c>
      <c r="AH3" s="1" t="str">
        <f t="shared" si="15"/>
        <v>67,454</v>
      </c>
    </row>
    <row r="4" spans="1:34">
      <c r="A4" s="28">
        <f t="shared" ref="A4:A9" si="17">A3+1</f>
        <v>3</v>
      </c>
      <c r="B4" s="1" t="s">
        <v>34</v>
      </c>
      <c r="C4" s="1" t="s">
        <v>35</v>
      </c>
      <c r="D4" s="1" t="s">
        <v>36</v>
      </c>
      <c r="E4" s="1" t="s">
        <v>37</v>
      </c>
      <c r="F4" s="31">
        <v>45357</v>
      </c>
      <c r="G4" s="1" t="s">
        <v>50</v>
      </c>
      <c r="H4" s="1" t="s">
        <v>51</v>
      </c>
      <c r="I4" s="1" t="s">
        <v>52</v>
      </c>
      <c r="J4" s="1" t="s">
        <v>47</v>
      </c>
      <c r="K4" s="1">
        <f>IF(ISBLANK(J4),0,VLOOKUP(J4,Sheet2!$U$7:$V$14,2,0))</f>
        <v>997331</v>
      </c>
      <c r="L4" s="1" t="s">
        <v>48</v>
      </c>
      <c r="M4" s="5">
        <v>0.09</v>
      </c>
      <c r="N4" s="5">
        <f t="shared" ref="N4" si="18">M4</f>
        <v>0.09</v>
      </c>
      <c r="O4" s="20">
        <v>0.18</v>
      </c>
      <c r="P4" s="2">
        <v>439764.47999999998</v>
      </c>
      <c r="Q4" s="27">
        <f t="shared" ref="Q4" si="19">IF($Z$1=L4,0,P4*O4)</f>
        <v>79157.60639999999</v>
      </c>
      <c r="R4" s="9">
        <f t="shared" ref="R4" si="20">IF($Z$1=L4,P4*M4,0)</f>
        <v>0</v>
      </c>
      <c r="S4" s="2">
        <f t="shared" ref="S4" si="21">IF($Z$1=L4,P4*M4,0)</f>
        <v>0</v>
      </c>
      <c r="T4" s="8">
        <f t="shared" si="16"/>
        <v>79157.60639999999</v>
      </c>
      <c r="U4" s="2">
        <f t="shared" si="4"/>
        <v>439764.47999999998</v>
      </c>
      <c r="V4" s="2">
        <f t="shared" si="5"/>
        <v>79157.61</v>
      </c>
      <c r="W4" s="2">
        <f t="shared" si="6"/>
        <v>0</v>
      </c>
      <c r="X4" s="2">
        <f t="shared" si="7"/>
        <v>0</v>
      </c>
      <c r="Y4" s="2">
        <f t="shared" si="8"/>
        <v>79157.61</v>
      </c>
      <c r="Z4" s="1"/>
      <c r="AA4" s="13">
        <f t="shared" si="9"/>
        <v>518922.08999999997</v>
      </c>
      <c r="AB4" s="1" t="s">
        <v>53</v>
      </c>
      <c r="AC4" s="1" t="str">
        <f t="shared" si="10"/>
        <v>439,764</v>
      </c>
      <c r="AD4" s="1" t="str">
        <f t="shared" si="11"/>
        <v>79,158</v>
      </c>
      <c r="AE4" s="1" t="str">
        <f t="shared" si="12"/>
        <v/>
      </c>
      <c r="AF4" s="1" t="str">
        <f t="shared" si="13"/>
        <v/>
      </c>
      <c r="AG4" s="1" t="str">
        <f t="shared" si="14"/>
        <v>79,158</v>
      </c>
      <c r="AH4" s="1" t="str">
        <f t="shared" si="15"/>
        <v>518,922</v>
      </c>
    </row>
    <row r="5" spans="1:34">
      <c r="A5" s="28">
        <f t="shared" si="17"/>
        <v>4</v>
      </c>
      <c r="B5" s="1" t="s">
        <v>34</v>
      </c>
      <c r="C5" s="1" t="s">
        <v>35</v>
      </c>
      <c r="D5" s="1" t="s">
        <v>36</v>
      </c>
      <c r="E5" s="1" t="s">
        <v>37</v>
      </c>
      <c r="F5" s="31">
        <v>45379</v>
      </c>
      <c r="G5" s="1" t="s">
        <v>54</v>
      </c>
      <c r="H5" s="1" t="s">
        <v>55</v>
      </c>
      <c r="I5" s="1" t="s">
        <v>56</v>
      </c>
      <c r="J5" s="1" t="s">
        <v>47</v>
      </c>
      <c r="K5" s="1">
        <f>IF(ISBLANK(J5),0,VLOOKUP(J5,Sheet2!$U$7:$V$14,2,0))</f>
        <v>997331</v>
      </c>
      <c r="L5" s="1" t="s">
        <v>48</v>
      </c>
      <c r="M5" s="5">
        <v>0.09</v>
      </c>
      <c r="N5" s="5">
        <f t="shared" ref="N5" si="22">M5</f>
        <v>0.09</v>
      </c>
      <c r="O5" s="20">
        <v>0.18</v>
      </c>
      <c r="P5" s="2">
        <v>640795.67000000004</v>
      </c>
      <c r="Q5" s="27">
        <f t="shared" si="1"/>
        <v>115343.2206</v>
      </c>
      <c r="R5" s="9">
        <f t="shared" si="2"/>
        <v>0</v>
      </c>
      <c r="S5" s="2">
        <f t="shared" si="3"/>
        <v>0</v>
      </c>
      <c r="T5" s="8">
        <f t="shared" si="16"/>
        <v>115343.2206</v>
      </c>
      <c r="U5" s="2">
        <f t="shared" si="4"/>
        <v>640795.67000000004</v>
      </c>
      <c r="V5" s="2">
        <f t="shared" si="5"/>
        <v>115343.22</v>
      </c>
      <c r="W5" s="2">
        <f t="shared" si="6"/>
        <v>0</v>
      </c>
      <c r="X5" s="2">
        <f t="shared" si="7"/>
        <v>0</v>
      </c>
      <c r="Y5" s="2">
        <f t="shared" si="8"/>
        <v>115343.22</v>
      </c>
      <c r="Z5" s="1"/>
      <c r="AA5" s="13">
        <f t="shared" si="9"/>
        <v>756138.89</v>
      </c>
      <c r="AB5" s="1" t="s">
        <v>57</v>
      </c>
      <c r="AC5" s="1" t="str">
        <f t="shared" si="10"/>
        <v>640,796</v>
      </c>
      <c r="AD5" s="1" t="str">
        <f t="shared" si="11"/>
        <v>115,343</v>
      </c>
      <c r="AE5" s="1" t="str">
        <f t="shared" si="12"/>
        <v/>
      </c>
      <c r="AF5" s="1" t="str">
        <f t="shared" si="13"/>
        <v/>
      </c>
      <c r="AG5" s="1" t="str">
        <f t="shared" si="14"/>
        <v>115,343</v>
      </c>
      <c r="AH5" s="1" t="str">
        <f t="shared" si="15"/>
        <v>756,139</v>
      </c>
    </row>
    <row r="6" spans="1:34">
      <c r="A6" s="28">
        <f t="shared" si="17"/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31">
        <v>45429</v>
      </c>
      <c r="G6" s="1" t="s">
        <v>58</v>
      </c>
      <c r="H6" s="1" t="s">
        <v>59</v>
      </c>
      <c r="I6" s="1" t="s">
        <v>60</v>
      </c>
      <c r="J6" s="1" t="s">
        <v>61</v>
      </c>
      <c r="K6" s="1">
        <f>IF(ISBLANK(J6),0,VLOOKUP(J6,Sheet2!$U$7:$V$14,2,0))</f>
        <v>999799</v>
      </c>
      <c r="L6" s="1" t="s">
        <v>48</v>
      </c>
      <c r="M6" s="5">
        <v>0.09</v>
      </c>
      <c r="N6" s="5">
        <f t="shared" ref="N6" si="23">M6</f>
        <v>0.09</v>
      </c>
      <c r="O6" s="20">
        <v>0.18</v>
      </c>
      <c r="P6" s="2">
        <v>5581769.9960000003</v>
      </c>
      <c r="Q6" s="27">
        <f t="shared" si="1"/>
        <v>1004718.59928</v>
      </c>
      <c r="R6" s="9">
        <f t="shared" si="2"/>
        <v>0</v>
      </c>
      <c r="S6" s="2">
        <f t="shared" si="3"/>
        <v>0</v>
      </c>
      <c r="T6" s="8">
        <f t="shared" si="16"/>
        <v>1004718.59928</v>
      </c>
      <c r="U6" s="2">
        <f t="shared" si="4"/>
        <v>5581770</v>
      </c>
      <c r="V6" s="2">
        <f t="shared" si="5"/>
        <v>1004718.6</v>
      </c>
      <c r="W6" s="2">
        <f t="shared" si="6"/>
        <v>0</v>
      </c>
      <c r="X6" s="2">
        <f t="shared" si="7"/>
        <v>0</v>
      </c>
      <c r="Y6" s="2">
        <f t="shared" si="8"/>
        <v>1004718.6</v>
      </c>
      <c r="Z6" s="1"/>
      <c r="AA6" s="13">
        <f t="shared" si="9"/>
        <v>6586488.5999999996</v>
      </c>
      <c r="AB6" s="1" t="s">
        <v>62</v>
      </c>
      <c r="AC6" s="1" t="str">
        <f t="shared" si="10"/>
        <v>5,581,770</v>
      </c>
      <c r="AD6" s="1" t="str">
        <f t="shared" si="11"/>
        <v>1,004,719</v>
      </c>
      <c r="AE6" s="1" t="str">
        <f t="shared" si="12"/>
        <v/>
      </c>
      <c r="AF6" s="1" t="str">
        <f t="shared" si="13"/>
        <v/>
      </c>
      <c r="AG6" s="1" t="str">
        <f t="shared" si="14"/>
        <v>1,004,719</v>
      </c>
      <c r="AH6" s="1" t="str">
        <f t="shared" si="15"/>
        <v>6,586,489</v>
      </c>
    </row>
    <row r="7" spans="1:34">
      <c r="A7" s="28">
        <f t="shared" si="17"/>
        <v>6</v>
      </c>
      <c r="B7" s="1" t="s">
        <v>34</v>
      </c>
      <c r="C7" s="1" t="s">
        <v>35</v>
      </c>
      <c r="D7" s="1" t="s">
        <v>36</v>
      </c>
      <c r="E7" s="1" t="s">
        <v>37</v>
      </c>
      <c r="F7" s="31">
        <v>45504</v>
      </c>
      <c r="G7" s="1" t="s">
        <v>63</v>
      </c>
      <c r="H7" s="1" t="s">
        <v>64</v>
      </c>
      <c r="I7" s="1" t="s">
        <v>65</v>
      </c>
      <c r="J7" s="1" t="s">
        <v>47</v>
      </c>
      <c r="K7" s="1">
        <f>IF(ISBLANK(J7),0,VLOOKUP(J7,Sheet2!$U$7:$V$14,2,0))</f>
        <v>997331</v>
      </c>
      <c r="L7" s="1" t="s">
        <v>48</v>
      </c>
      <c r="M7" s="5">
        <v>0.09</v>
      </c>
      <c r="N7" s="5">
        <f t="shared" ref="N7" si="24">M7</f>
        <v>0.09</v>
      </c>
      <c r="O7" s="20">
        <v>0.18</v>
      </c>
      <c r="P7" s="12">
        <v>5095200</v>
      </c>
      <c r="Q7" s="27">
        <f t="shared" ref="Q7" si="25">IF($Z$1=L7,0,P7*O7)</f>
        <v>917136</v>
      </c>
      <c r="R7" s="9">
        <f t="shared" ref="R7" si="26">IF($Z$1=L7,P7*M7,0)</f>
        <v>0</v>
      </c>
      <c r="S7" s="2">
        <f t="shared" ref="S7" si="27">IF($Z$1=L7,P7*M7,0)</f>
        <v>0</v>
      </c>
      <c r="T7" s="8">
        <f t="shared" ref="T7" si="28">SUM(Q7:S7)</f>
        <v>917136</v>
      </c>
      <c r="U7" s="2">
        <f t="shared" si="4"/>
        <v>5095200</v>
      </c>
      <c r="V7" s="2">
        <f t="shared" si="5"/>
        <v>917136</v>
      </c>
      <c r="W7" s="2">
        <f t="shared" si="6"/>
        <v>0</v>
      </c>
      <c r="X7" s="2">
        <f t="shared" si="7"/>
        <v>0</v>
      </c>
      <c r="Y7" s="2">
        <f t="shared" si="8"/>
        <v>917136</v>
      </c>
      <c r="Z7" s="1"/>
      <c r="AA7" s="13">
        <f t="shared" si="9"/>
        <v>6012336</v>
      </c>
      <c r="AB7" s="1" t="s">
        <v>66</v>
      </c>
      <c r="AC7" s="1" t="str">
        <f t="shared" si="10"/>
        <v>5,095,200</v>
      </c>
      <c r="AD7" s="1" t="str">
        <f t="shared" si="11"/>
        <v>917,136</v>
      </c>
      <c r="AE7" s="1" t="str">
        <f t="shared" si="12"/>
        <v/>
      </c>
      <c r="AF7" s="1" t="str">
        <f t="shared" si="13"/>
        <v/>
      </c>
      <c r="AG7" s="1" t="str">
        <f t="shared" si="14"/>
        <v>917,136</v>
      </c>
      <c r="AH7" s="1" t="str">
        <f t="shared" si="15"/>
        <v>6,012,336</v>
      </c>
    </row>
    <row r="8" spans="1:34">
      <c r="A8" s="28">
        <f t="shared" si="17"/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31">
        <v>45558</v>
      </c>
      <c r="G8" s="1" t="s">
        <v>67</v>
      </c>
      <c r="H8" s="1" t="s">
        <v>68</v>
      </c>
      <c r="I8" s="1" t="s">
        <v>69</v>
      </c>
      <c r="J8" s="1" t="s">
        <v>47</v>
      </c>
      <c r="K8" s="1">
        <f>IF(ISBLANK(J8),0,VLOOKUP(J8,Sheet2!$U$7:$V$14,2,0))</f>
        <v>997331</v>
      </c>
      <c r="L8" s="1" t="s">
        <v>48</v>
      </c>
      <c r="M8" s="5">
        <v>0.09</v>
      </c>
      <c r="N8" s="5">
        <f t="shared" ref="N8" si="29">M8</f>
        <v>0.09</v>
      </c>
      <c r="O8" s="20">
        <v>0.18</v>
      </c>
      <c r="P8" s="12">
        <v>302222.88</v>
      </c>
      <c r="Q8" s="27">
        <f t="shared" ref="Q8" si="30">IF($Z$1=L8,0,P8*O8)</f>
        <v>54400.118399999999</v>
      </c>
      <c r="R8" s="14">
        <f t="shared" ref="R8" si="31">IF($Z$1=L8,P8*M8,0)</f>
        <v>0</v>
      </c>
      <c r="S8" s="13">
        <f t="shared" ref="S8" si="32">IF($Z$1=L8,P8*M8,0)</f>
        <v>0</v>
      </c>
      <c r="T8" s="15">
        <f t="shared" ref="T8" si="33">SUM(Q8:S8)</f>
        <v>54400.118399999999</v>
      </c>
      <c r="U8" s="2">
        <f t="shared" ref="U8" si="34">ROUND(P8,2)</f>
        <v>302222.88</v>
      </c>
      <c r="V8" s="2">
        <f t="shared" ref="V8" si="35">ROUND(Q8,2)</f>
        <v>54400.12</v>
      </c>
      <c r="W8" s="2">
        <f t="shared" ref="W8" si="36">ROUND(R8,2)</f>
        <v>0</v>
      </c>
      <c r="X8" s="2">
        <f t="shared" ref="X8" si="37">ROUND(S8,2)</f>
        <v>0</v>
      </c>
      <c r="Y8" s="2">
        <f t="shared" ref="Y8" si="38">ROUND(T8,2)</f>
        <v>54400.12</v>
      </c>
      <c r="Z8" s="1"/>
      <c r="AA8" s="13">
        <f t="shared" ref="AA8:AA9" si="39">SUBTOTAL(9,U8:X8)</f>
        <v>356623</v>
      </c>
      <c r="AB8" s="1" t="s">
        <v>70</v>
      </c>
      <c r="AC8" s="1" t="str">
        <f t="shared" si="10"/>
        <v>302,223</v>
      </c>
      <c r="AD8" s="1" t="str">
        <f t="shared" si="11"/>
        <v>54,400</v>
      </c>
      <c r="AE8" s="1" t="str">
        <f t="shared" si="12"/>
        <v/>
      </c>
      <c r="AF8" s="1" t="str">
        <f t="shared" si="13"/>
        <v/>
      </c>
      <c r="AG8" s="1" t="str">
        <f t="shared" si="14"/>
        <v>54,400</v>
      </c>
      <c r="AH8" s="1" t="str">
        <f t="shared" si="15"/>
        <v>356,623</v>
      </c>
    </row>
    <row r="9" spans="1:34">
      <c r="A9" s="28">
        <f t="shared" si="17"/>
        <v>8</v>
      </c>
      <c r="B9" s="1" t="s">
        <v>71</v>
      </c>
      <c r="C9" s="1" t="s">
        <v>72</v>
      </c>
      <c r="D9" s="1" t="s">
        <v>36</v>
      </c>
      <c r="E9" s="1" t="s">
        <v>73</v>
      </c>
      <c r="F9" s="31">
        <v>45492</v>
      </c>
      <c r="G9" s="1" t="s">
        <v>63</v>
      </c>
      <c r="H9" s="1" t="s">
        <v>74</v>
      </c>
      <c r="I9" s="1" t="s">
        <v>75</v>
      </c>
      <c r="J9" s="1" t="s">
        <v>41</v>
      </c>
      <c r="K9" s="1">
        <f>IF(ISBLANK(J9),0,VLOOKUP(J9,Sheet2!$U$7:$V$14,2,0))</f>
        <v>998211</v>
      </c>
      <c r="L9" s="1" t="s">
        <v>25</v>
      </c>
      <c r="M9" s="5">
        <v>0.09</v>
      </c>
      <c r="N9" s="5">
        <f t="shared" ref="N9" si="40">M9</f>
        <v>0.09</v>
      </c>
      <c r="O9" s="20">
        <v>0.18</v>
      </c>
      <c r="P9" s="16">
        <v>70125</v>
      </c>
      <c r="Q9" s="13">
        <f t="shared" ref="Q9" si="41">IF($Z$1=L9,0,P9*O9)</f>
        <v>0</v>
      </c>
      <c r="R9" s="14">
        <f t="shared" ref="R9" si="42">IF($Z$1=L9,P9*M9,0)</f>
        <v>6311.25</v>
      </c>
      <c r="S9" s="13">
        <f t="shared" ref="S9" si="43">IF($Z$1=L9,P9*M9,0)</f>
        <v>6311.25</v>
      </c>
      <c r="T9" s="15">
        <f t="shared" ref="T9" si="44">SUM(Q9:S9)</f>
        <v>12622.5</v>
      </c>
      <c r="U9" s="2">
        <f t="shared" si="4"/>
        <v>70125</v>
      </c>
      <c r="V9" s="2">
        <f t="shared" si="5"/>
        <v>0</v>
      </c>
      <c r="W9" s="2">
        <f t="shared" si="6"/>
        <v>6311.25</v>
      </c>
      <c r="X9" s="2">
        <f t="shared" si="7"/>
        <v>6311.25</v>
      </c>
      <c r="Y9" s="2">
        <f t="shared" si="8"/>
        <v>12622.5</v>
      </c>
      <c r="Z9" s="1"/>
      <c r="AA9" s="13">
        <f t="shared" si="39"/>
        <v>82747.5</v>
      </c>
      <c r="AB9" s="1" t="s">
        <v>76</v>
      </c>
      <c r="AC9" s="1" t="str">
        <f t="shared" si="10"/>
        <v>70,125</v>
      </c>
      <c r="AD9" s="1" t="str">
        <f t="shared" si="11"/>
        <v/>
      </c>
      <c r="AE9" s="1" t="str">
        <f t="shared" si="12"/>
        <v>6,311</v>
      </c>
      <c r="AF9" s="1" t="str">
        <f t="shared" si="13"/>
        <v>6,311</v>
      </c>
      <c r="AG9" s="1" t="str">
        <f t="shared" si="14"/>
        <v>12,623</v>
      </c>
      <c r="AH9" s="1" t="str">
        <f t="shared" si="15"/>
        <v>82,748</v>
      </c>
    </row>
  </sheetData>
  <autoFilter ref="A1:AH8" xr:uid="{00000000-0001-0000-0000-000000000000}"/>
  <pageMargins left="0.17" right="0.7" top="0.38" bottom="0.17" header="0.19" footer="0.17"/>
  <pageSetup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1574-4804-4A85-A71F-ABB09624E051}">
  <dimension ref="A1:AD36"/>
  <sheetViews>
    <sheetView workbookViewId="0">
      <selection activeCell="E4" sqref="E4"/>
    </sheetView>
  </sheetViews>
  <sheetFormatPr defaultRowHeight="14.45"/>
  <cols>
    <col min="1" max="1" width="9.42578125" bestFit="1" customWidth="1"/>
    <col min="2" max="2" width="32.42578125" bestFit="1" customWidth="1"/>
    <col min="3" max="3" width="14.28515625" bestFit="1" customWidth="1"/>
    <col min="4" max="4" width="15.7109375" bestFit="1" customWidth="1"/>
    <col min="5" max="5" width="44.42578125" bestFit="1" customWidth="1"/>
    <col min="6" max="6" width="21.7109375" bestFit="1" customWidth="1"/>
    <col min="7" max="7" width="20.5703125" bestFit="1" customWidth="1"/>
    <col min="8" max="8" width="20.7109375" bestFit="1" customWidth="1"/>
    <col min="9" max="10" width="17.7109375" bestFit="1" customWidth="1"/>
    <col min="11" max="11" width="16.7109375" bestFit="1" customWidth="1"/>
    <col min="12" max="12" width="26.28515625" bestFit="1" customWidth="1"/>
    <col min="13" max="13" width="14" bestFit="1" customWidth="1"/>
    <col min="14" max="15" width="15" bestFit="1" customWidth="1"/>
    <col min="16" max="16" width="30.28515625" bestFit="1" customWidth="1"/>
    <col min="17" max="17" width="26.7109375" customWidth="1"/>
    <col min="18" max="18" width="22.28515625" customWidth="1"/>
    <col min="19" max="20" width="24.42578125" customWidth="1"/>
    <col min="21" max="21" width="31.42578125" customWidth="1"/>
    <col min="22" max="22" width="22.7109375" customWidth="1"/>
    <col min="23" max="23" width="24.5703125" customWidth="1"/>
    <col min="24" max="24" width="67" bestFit="1" customWidth="1"/>
    <col min="25" max="25" width="28.5703125" bestFit="1" customWidth="1"/>
    <col min="26" max="26" width="16.7109375" bestFit="1" customWidth="1"/>
    <col min="27" max="28" width="18" bestFit="1" customWidth="1"/>
    <col min="29" max="29" width="27.7109375" bestFit="1" customWidth="1"/>
    <col min="30" max="30" width="14.7109375" bestFit="1" customWidth="1"/>
  </cols>
  <sheetData>
    <row r="1" spans="1:30">
      <c r="L1" s="32">
        <f>SUM(L3:L31)</f>
        <v>17449725.805999998</v>
      </c>
      <c r="M1" s="32">
        <f>SUM(M3:M31)</f>
        <v>2866255.5610799999</v>
      </c>
      <c r="N1" s="32">
        <f t="shared" ref="N1:P1" si="0">SUM(N3:N31)</f>
        <v>133710.22</v>
      </c>
      <c r="O1" s="32">
        <f t="shared" si="0"/>
        <v>133710.22</v>
      </c>
      <c r="P1" s="32">
        <f t="shared" si="0"/>
        <v>3133676.0010799998</v>
      </c>
    </row>
    <row r="2" spans="1:30" s="25" customFormat="1" ht="28.9">
      <c r="A2" s="22" t="s">
        <v>0</v>
      </c>
      <c r="B2" s="22" t="s">
        <v>1</v>
      </c>
      <c r="C2" s="22" t="s">
        <v>5</v>
      </c>
      <c r="D2" s="23" t="s">
        <v>6</v>
      </c>
      <c r="E2" s="23" t="s">
        <v>7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3" t="s">
        <v>15</v>
      </c>
      <c r="M2" s="18" t="s">
        <v>16</v>
      </c>
      <c r="N2" s="18" t="s">
        <v>17</v>
      </c>
      <c r="O2" s="18" t="s">
        <v>18</v>
      </c>
      <c r="P2" s="18" t="s">
        <v>19</v>
      </c>
      <c r="Q2" s="10" t="s">
        <v>20</v>
      </c>
      <c r="R2" s="11" t="s">
        <v>21</v>
      </c>
      <c r="S2" s="11" t="s">
        <v>22</v>
      </c>
      <c r="T2" s="11" t="s">
        <v>23</v>
      </c>
      <c r="U2" s="11" t="s">
        <v>24</v>
      </c>
      <c r="V2" s="11" t="s">
        <v>25</v>
      </c>
      <c r="W2" s="21" t="s">
        <v>26</v>
      </c>
      <c r="X2" s="21" t="s">
        <v>27</v>
      </c>
      <c r="Y2" s="24" t="s">
        <v>28</v>
      </c>
      <c r="Z2" s="24" t="s">
        <v>29</v>
      </c>
      <c r="AA2" s="24" t="s">
        <v>30</v>
      </c>
      <c r="AB2" s="24" t="s">
        <v>31</v>
      </c>
      <c r="AC2" s="24" t="s">
        <v>32</v>
      </c>
      <c r="AD2" s="24" t="s">
        <v>33</v>
      </c>
    </row>
    <row r="3" spans="1:30">
      <c r="A3" s="26">
        <v>1</v>
      </c>
      <c r="B3" s="1" t="s">
        <v>34</v>
      </c>
      <c r="C3" s="19">
        <v>45321</v>
      </c>
      <c r="D3" s="1" t="s">
        <v>77</v>
      </c>
      <c r="E3" s="1" t="s">
        <v>78</v>
      </c>
      <c r="F3" s="1" t="s">
        <v>41</v>
      </c>
      <c r="G3" s="1">
        <f>IF(ISBLANK(F3),0,VLOOKUP(F3,Sheet2!$U$7:$V$14,2,0))</f>
        <v>998211</v>
      </c>
      <c r="H3" s="1" t="s">
        <v>42</v>
      </c>
      <c r="I3" s="5">
        <v>0.09</v>
      </c>
      <c r="J3" s="5">
        <f t="shared" ref="J3:J31" si="1">I3</f>
        <v>0.09</v>
      </c>
      <c r="K3" s="20">
        <v>0.18</v>
      </c>
      <c r="L3" s="2">
        <v>52500</v>
      </c>
      <c r="M3" s="13">
        <f t="shared" ref="M3:M31" si="2">IF($V$2=H3,0,L3*K3)</f>
        <v>9450</v>
      </c>
      <c r="N3" s="9">
        <f t="shared" ref="N3:N31" si="3">IF($V$2=H3,L3*I3,0)</f>
        <v>0</v>
      </c>
      <c r="O3" s="2">
        <f t="shared" ref="O3:O31" si="4">IF($V$2=H3,L3*I3,0)</f>
        <v>0</v>
      </c>
      <c r="P3" s="4">
        <f>SUM(M3:O3)</f>
        <v>9450</v>
      </c>
      <c r="Q3" s="2">
        <f t="shared" ref="Q3:U31" si="5">ROUND(L3,2)</f>
        <v>52500</v>
      </c>
      <c r="R3" s="2">
        <f t="shared" si="5"/>
        <v>9450</v>
      </c>
      <c r="S3" s="2">
        <f t="shared" si="5"/>
        <v>0</v>
      </c>
      <c r="T3" s="2">
        <f t="shared" si="5"/>
        <v>0</v>
      </c>
      <c r="U3" s="2">
        <f t="shared" si="5"/>
        <v>9450</v>
      </c>
      <c r="V3" s="1"/>
      <c r="W3" s="13">
        <f t="shared" ref="W3:W31" si="6">SUBTOTAL(9,Q3:T3)</f>
        <v>61950</v>
      </c>
      <c r="X3" s="1"/>
      <c r="Y3" s="1" t="str">
        <f t="shared" ref="Y3:AC31" si="7">TEXT(Q3,"#,##,###")</f>
        <v>52,500</v>
      </c>
      <c r="Z3" s="1" t="str">
        <f t="shared" si="7"/>
        <v>9,450</v>
      </c>
      <c r="AA3" s="1" t="str">
        <f t="shared" si="7"/>
        <v/>
      </c>
      <c r="AB3" s="1" t="str">
        <f t="shared" si="7"/>
        <v/>
      </c>
      <c r="AC3" s="1" t="str">
        <f t="shared" si="7"/>
        <v>9,450</v>
      </c>
      <c r="AD3" s="1" t="str">
        <f t="shared" ref="AD3:AD31" si="8">TEXT(W3,"#,##,###")</f>
        <v>61,950</v>
      </c>
    </row>
    <row r="4" spans="1:30">
      <c r="A4" s="26">
        <f t="shared" ref="A4:A31" si="9">A3+1</f>
        <v>2</v>
      </c>
      <c r="B4" s="1" t="s">
        <v>34</v>
      </c>
      <c r="C4" s="19">
        <v>45351</v>
      </c>
      <c r="D4" s="1" t="s">
        <v>38</v>
      </c>
      <c r="E4" s="1" t="s">
        <v>39</v>
      </c>
      <c r="F4" s="1" t="s">
        <v>41</v>
      </c>
      <c r="G4" s="1">
        <f>IF(ISBLANK(F4),0,VLOOKUP(F4,Sheet2!$U$7:$V$14,2,0))</f>
        <v>998211</v>
      </c>
      <c r="H4" s="1" t="s">
        <v>42</v>
      </c>
      <c r="I4" s="5">
        <v>0.09</v>
      </c>
      <c r="J4" s="5">
        <f t="shared" si="1"/>
        <v>0.09</v>
      </c>
      <c r="K4" s="20">
        <v>0.18</v>
      </c>
      <c r="L4" s="2">
        <v>15000</v>
      </c>
      <c r="M4" s="13">
        <f t="shared" si="2"/>
        <v>2700</v>
      </c>
      <c r="N4" s="9">
        <f t="shared" si="3"/>
        <v>0</v>
      </c>
      <c r="O4" s="2">
        <f t="shared" si="4"/>
        <v>0</v>
      </c>
      <c r="P4" s="4">
        <f>SUM(M4:O4)</f>
        <v>2700</v>
      </c>
      <c r="Q4" s="2">
        <f t="shared" si="5"/>
        <v>15000</v>
      </c>
      <c r="R4" s="2">
        <f t="shared" si="5"/>
        <v>2700</v>
      </c>
      <c r="S4" s="2">
        <f t="shared" si="5"/>
        <v>0</v>
      </c>
      <c r="T4" s="2">
        <f t="shared" si="5"/>
        <v>0</v>
      </c>
      <c r="U4" s="2">
        <f t="shared" si="5"/>
        <v>2700</v>
      </c>
      <c r="V4" s="1"/>
      <c r="W4" s="13">
        <f t="shared" si="6"/>
        <v>17700</v>
      </c>
      <c r="X4" s="1"/>
      <c r="Y4" s="1" t="str">
        <f t="shared" si="7"/>
        <v>15,000</v>
      </c>
      <c r="Z4" s="1" t="str">
        <f t="shared" si="7"/>
        <v>2,700</v>
      </c>
      <c r="AA4" s="1" t="str">
        <f t="shared" si="7"/>
        <v/>
      </c>
      <c r="AB4" s="1" t="str">
        <f t="shared" si="7"/>
        <v/>
      </c>
      <c r="AC4" s="1" t="str">
        <f t="shared" si="7"/>
        <v>2,700</v>
      </c>
      <c r="AD4" s="1" t="str">
        <f t="shared" si="8"/>
        <v>17,700</v>
      </c>
    </row>
    <row r="5" spans="1:30">
      <c r="A5" s="26">
        <f t="shared" si="9"/>
        <v>3</v>
      </c>
      <c r="B5" s="1" t="s">
        <v>34</v>
      </c>
      <c r="C5" s="19">
        <v>45357</v>
      </c>
      <c r="D5" s="1" t="s">
        <v>77</v>
      </c>
      <c r="E5" s="1" t="s">
        <v>79</v>
      </c>
      <c r="F5" s="1" t="s">
        <v>41</v>
      </c>
      <c r="G5" s="1">
        <f>IF(ISBLANK(F5),0,VLOOKUP(F5,Sheet2!$U$7:$V$14,2,0))</f>
        <v>998211</v>
      </c>
      <c r="H5" s="1" t="s">
        <v>42</v>
      </c>
      <c r="I5" s="5">
        <v>0.09</v>
      </c>
      <c r="J5" s="5">
        <f t="shared" si="1"/>
        <v>0.09</v>
      </c>
      <c r="K5" s="20">
        <v>0.18</v>
      </c>
      <c r="L5" s="2">
        <v>800000</v>
      </c>
      <c r="M5" s="13">
        <f t="shared" si="2"/>
        <v>144000</v>
      </c>
      <c r="N5" s="9">
        <f t="shared" si="3"/>
        <v>0</v>
      </c>
      <c r="O5" s="2">
        <f t="shared" si="4"/>
        <v>0</v>
      </c>
      <c r="P5" s="8">
        <f>SUM(M5:O5)</f>
        <v>144000</v>
      </c>
      <c r="Q5" s="2">
        <f t="shared" si="5"/>
        <v>800000</v>
      </c>
      <c r="R5" s="2">
        <f t="shared" si="5"/>
        <v>144000</v>
      </c>
      <c r="S5" s="2">
        <f t="shared" si="5"/>
        <v>0</v>
      </c>
      <c r="T5" s="2">
        <f t="shared" si="5"/>
        <v>0</v>
      </c>
      <c r="U5" s="2">
        <f t="shared" si="5"/>
        <v>144000</v>
      </c>
      <c r="V5" s="1"/>
      <c r="W5" s="13">
        <f t="shared" si="6"/>
        <v>944000</v>
      </c>
      <c r="X5" s="1"/>
      <c r="Y5" s="1" t="str">
        <f t="shared" si="7"/>
        <v>800,000</v>
      </c>
      <c r="Z5" s="1" t="str">
        <f t="shared" si="7"/>
        <v>144,000</v>
      </c>
      <c r="AA5" s="1" t="str">
        <f t="shared" si="7"/>
        <v/>
      </c>
      <c r="AB5" s="1" t="str">
        <f t="shared" si="7"/>
        <v/>
      </c>
      <c r="AC5" s="1" t="str">
        <f t="shared" si="7"/>
        <v>144,000</v>
      </c>
      <c r="AD5" s="1" t="str">
        <f t="shared" si="8"/>
        <v>944,000</v>
      </c>
    </row>
    <row r="6" spans="1:30">
      <c r="A6" s="26">
        <f t="shared" si="9"/>
        <v>4</v>
      </c>
      <c r="B6" s="1" t="s">
        <v>34</v>
      </c>
      <c r="C6" s="19">
        <v>45357</v>
      </c>
      <c r="D6" s="1" t="s">
        <v>44</v>
      </c>
      <c r="E6" s="1" t="s">
        <v>45</v>
      </c>
      <c r="F6" s="1" t="s">
        <v>47</v>
      </c>
      <c r="G6" s="1">
        <f>IF(ISBLANK(F6),0,VLOOKUP(F6,Sheet2!$U$7:$V$14,2,0))</f>
        <v>997331</v>
      </c>
      <c r="H6" s="1" t="s">
        <v>48</v>
      </c>
      <c r="I6" s="5">
        <v>0.09</v>
      </c>
      <c r="J6" s="5">
        <f t="shared" si="1"/>
        <v>0.09</v>
      </c>
      <c r="K6" s="20">
        <v>0.18</v>
      </c>
      <c r="L6" s="2">
        <v>57163.98</v>
      </c>
      <c r="M6" s="13">
        <f t="shared" si="2"/>
        <v>10289.5164</v>
      </c>
      <c r="N6" s="9">
        <f t="shared" si="3"/>
        <v>0</v>
      </c>
      <c r="O6" s="2">
        <f t="shared" si="4"/>
        <v>0</v>
      </c>
      <c r="P6" s="8">
        <f t="shared" ref="P6:P12" si="10">SUM(M6:O6)</f>
        <v>10289.5164</v>
      </c>
      <c r="Q6" s="2">
        <f t="shared" si="5"/>
        <v>57163.98</v>
      </c>
      <c r="R6" s="2">
        <f t="shared" si="5"/>
        <v>10289.52</v>
      </c>
      <c r="S6" s="2">
        <f t="shared" si="5"/>
        <v>0</v>
      </c>
      <c r="T6" s="2">
        <f t="shared" si="5"/>
        <v>0</v>
      </c>
      <c r="U6" s="2">
        <f t="shared" si="5"/>
        <v>10289.52</v>
      </c>
      <c r="V6" s="1"/>
      <c r="W6" s="13">
        <f t="shared" si="6"/>
        <v>67453.5</v>
      </c>
      <c r="X6" s="1"/>
      <c r="Y6" s="1" t="str">
        <f t="shared" si="7"/>
        <v>57,164</v>
      </c>
      <c r="Z6" s="1" t="str">
        <f t="shared" si="7"/>
        <v>10,290</v>
      </c>
      <c r="AA6" s="1" t="str">
        <f t="shared" si="7"/>
        <v/>
      </c>
      <c r="AB6" s="1" t="str">
        <f t="shared" si="7"/>
        <v/>
      </c>
      <c r="AC6" s="1" t="str">
        <f t="shared" si="7"/>
        <v>10,290</v>
      </c>
      <c r="AD6" s="1" t="str">
        <f t="shared" si="8"/>
        <v>67,454</v>
      </c>
    </row>
    <row r="7" spans="1:30">
      <c r="A7" s="26">
        <f t="shared" si="9"/>
        <v>5</v>
      </c>
      <c r="B7" s="1" t="s">
        <v>34</v>
      </c>
      <c r="C7" s="19">
        <v>45357</v>
      </c>
      <c r="D7" s="1" t="s">
        <v>50</v>
      </c>
      <c r="E7" s="1" t="s">
        <v>51</v>
      </c>
      <c r="F7" s="1" t="s">
        <v>47</v>
      </c>
      <c r="G7" s="1">
        <f>IF(ISBLANK(F7),0,VLOOKUP(F7,Sheet2!$U$7:$V$14,2,0))</f>
        <v>997331</v>
      </c>
      <c r="H7" s="1" t="s">
        <v>48</v>
      </c>
      <c r="I7" s="5">
        <v>0.09</v>
      </c>
      <c r="J7" s="5">
        <f t="shared" si="1"/>
        <v>0.09</v>
      </c>
      <c r="K7" s="20">
        <v>0.18</v>
      </c>
      <c r="L7" s="2">
        <v>439764.47999999998</v>
      </c>
      <c r="M7" s="13">
        <f t="shared" si="2"/>
        <v>79157.60639999999</v>
      </c>
      <c r="N7" s="9">
        <f t="shared" si="3"/>
        <v>0</v>
      </c>
      <c r="O7" s="2">
        <f t="shared" si="4"/>
        <v>0</v>
      </c>
      <c r="P7" s="8">
        <f t="shared" si="10"/>
        <v>79157.60639999999</v>
      </c>
      <c r="Q7" s="2">
        <f t="shared" si="5"/>
        <v>439764.47999999998</v>
      </c>
      <c r="R7" s="2">
        <f t="shared" si="5"/>
        <v>79157.61</v>
      </c>
      <c r="S7" s="2">
        <f t="shared" si="5"/>
        <v>0</v>
      </c>
      <c r="T7" s="2">
        <f t="shared" si="5"/>
        <v>0</v>
      </c>
      <c r="U7" s="2">
        <f t="shared" si="5"/>
        <v>79157.61</v>
      </c>
      <c r="V7" s="1"/>
      <c r="W7" s="13">
        <f t="shared" si="6"/>
        <v>518922.08999999997</v>
      </c>
      <c r="X7" s="1"/>
      <c r="Y7" s="1" t="str">
        <f t="shared" si="7"/>
        <v>439,764</v>
      </c>
      <c r="Z7" s="1" t="str">
        <f t="shared" si="7"/>
        <v>79,158</v>
      </c>
      <c r="AA7" s="1" t="str">
        <f t="shared" si="7"/>
        <v/>
      </c>
      <c r="AB7" s="1" t="str">
        <f t="shared" si="7"/>
        <v/>
      </c>
      <c r="AC7" s="1" t="str">
        <f t="shared" si="7"/>
        <v>79,158</v>
      </c>
      <c r="AD7" s="1" t="str">
        <f t="shared" si="8"/>
        <v>518,922</v>
      </c>
    </row>
    <row r="8" spans="1:30">
      <c r="A8" s="26">
        <f t="shared" si="9"/>
        <v>6</v>
      </c>
      <c r="B8" s="1" t="s">
        <v>34</v>
      </c>
      <c r="C8" s="19">
        <v>45379</v>
      </c>
      <c r="D8" s="1" t="s">
        <v>54</v>
      </c>
      <c r="E8" s="1" t="s">
        <v>55</v>
      </c>
      <c r="F8" s="1" t="s">
        <v>47</v>
      </c>
      <c r="G8" s="1">
        <f>IF(ISBLANK(F8),0,VLOOKUP(F8,Sheet2!$U$7:$V$14,2,0))</f>
        <v>997331</v>
      </c>
      <c r="H8" s="1" t="s">
        <v>48</v>
      </c>
      <c r="I8" s="5">
        <v>0.09</v>
      </c>
      <c r="J8" s="5">
        <f t="shared" si="1"/>
        <v>0.09</v>
      </c>
      <c r="K8" s="20">
        <v>0.18</v>
      </c>
      <c r="L8" s="2">
        <v>640795.67000000004</v>
      </c>
      <c r="M8" s="13">
        <f t="shared" si="2"/>
        <v>115343.2206</v>
      </c>
      <c r="N8" s="9">
        <f t="shared" si="3"/>
        <v>0</v>
      </c>
      <c r="O8" s="2">
        <f t="shared" si="4"/>
        <v>0</v>
      </c>
      <c r="P8" s="8">
        <f t="shared" si="10"/>
        <v>115343.2206</v>
      </c>
      <c r="Q8" s="2">
        <f t="shared" si="5"/>
        <v>640795.67000000004</v>
      </c>
      <c r="R8" s="2">
        <f t="shared" si="5"/>
        <v>115343.22</v>
      </c>
      <c r="S8" s="2">
        <f t="shared" si="5"/>
        <v>0</v>
      </c>
      <c r="T8" s="2">
        <f t="shared" si="5"/>
        <v>0</v>
      </c>
      <c r="U8" s="2">
        <f t="shared" si="5"/>
        <v>115343.22</v>
      </c>
      <c r="V8" s="1"/>
      <c r="W8" s="13">
        <f t="shared" si="6"/>
        <v>756138.89</v>
      </c>
      <c r="X8" s="1"/>
      <c r="Y8" s="1" t="str">
        <f t="shared" si="7"/>
        <v>640,796</v>
      </c>
      <c r="Z8" s="1" t="str">
        <f t="shared" si="7"/>
        <v>115,343</v>
      </c>
      <c r="AA8" s="1" t="str">
        <f t="shared" si="7"/>
        <v/>
      </c>
      <c r="AB8" s="1" t="str">
        <f t="shared" si="7"/>
        <v/>
      </c>
      <c r="AC8" s="1" t="str">
        <f t="shared" si="7"/>
        <v>115,343</v>
      </c>
      <c r="AD8" s="1" t="str">
        <f t="shared" si="8"/>
        <v>756,139</v>
      </c>
    </row>
    <row r="9" spans="1:30">
      <c r="A9" s="26">
        <f t="shared" si="9"/>
        <v>7</v>
      </c>
      <c r="B9" s="1" t="s">
        <v>34</v>
      </c>
      <c r="C9" s="19">
        <v>45412</v>
      </c>
      <c r="D9" s="1" t="s">
        <v>77</v>
      </c>
      <c r="E9" s="1" t="s">
        <v>80</v>
      </c>
      <c r="F9" s="1" t="s">
        <v>41</v>
      </c>
      <c r="G9" s="1">
        <f>IF(ISBLANK(F9),0,VLOOKUP(F9,Sheet2!$U$7:$V$14,2,0))</f>
        <v>998211</v>
      </c>
      <c r="H9" s="1" t="s">
        <v>42</v>
      </c>
      <c r="I9" s="5">
        <v>0.09</v>
      </c>
      <c r="J9" s="5">
        <f t="shared" si="1"/>
        <v>0.09</v>
      </c>
      <c r="K9" s="20">
        <v>0.18</v>
      </c>
      <c r="L9" s="2">
        <v>101600</v>
      </c>
      <c r="M9" s="13">
        <f t="shared" si="2"/>
        <v>18288</v>
      </c>
      <c r="N9" s="9">
        <f t="shared" si="3"/>
        <v>0</v>
      </c>
      <c r="O9" s="2">
        <f t="shared" si="4"/>
        <v>0</v>
      </c>
      <c r="P9" s="8">
        <f t="shared" si="10"/>
        <v>18288</v>
      </c>
      <c r="Q9" s="2">
        <f t="shared" si="5"/>
        <v>101600</v>
      </c>
      <c r="R9" s="2">
        <f t="shared" si="5"/>
        <v>18288</v>
      </c>
      <c r="S9" s="2">
        <f t="shared" si="5"/>
        <v>0</v>
      </c>
      <c r="T9" s="2">
        <f t="shared" si="5"/>
        <v>0</v>
      </c>
      <c r="U9" s="2">
        <f t="shared" si="5"/>
        <v>18288</v>
      </c>
      <c r="V9" s="1"/>
      <c r="W9" s="13">
        <f t="shared" si="6"/>
        <v>119888</v>
      </c>
      <c r="X9" s="1"/>
      <c r="Y9" s="1" t="str">
        <f t="shared" si="7"/>
        <v>101,600</v>
      </c>
      <c r="Z9" s="1" t="str">
        <f t="shared" si="7"/>
        <v>18,288</v>
      </c>
      <c r="AA9" s="1" t="str">
        <f t="shared" si="7"/>
        <v/>
      </c>
      <c r="AB9" s="1" t="str">
        <f t="shared" si="7"/>
        <v/>
      </c>
      <c r="AC9" s="1" t="str">
        <f t="shared" si="7"/>
        <v>18,288</v>
      </c>
      <c r="AD9" s="1" t="str">
        <f t="shared" si="8"/>
        <v>119,888</v>
      </c>
    </row>
    <row r="10" spans="1:30">
      <c r="A10" s="26">
        <f t="shared" si="9"/>
        <v>8</v>
      </c>
      <c r="B10" s="1" t="s">
        <v>34</v>
      </c>
      <c r="C10" s="19">
        <v>45419</v>
      </c>
      <c r="D10" s="1" t="s">
        <v>77</v>
      </c>
      <c r="E10" s="1" t="s">
        <v>81</v>
      </c>
      <c r="F10" s="1" t="s">
        <v>41</v>
      </c>
      <c r="G10" s="1">
        <f>IF(ISBLANK(F10),0,VLOOKUP(F10,Sheet2!$U$7:$V$14,2,0))</f>
        <v>998211</v>
      </c>
      <c r="H10" s="1" t="s">
        <v>42</v>
      </c>
      <c r="I10" s="5">
        <v>0.09</v>
      </c>
      <c r="J10" s="5">
        <f t="shared" si="1"/>
        <v>0.09</v>
      </c>
      <c r="K10" s="20">
        <v>0.18</v>
      </c>
      <c r="L10" s="2">
        <v>15000</v>
      </c>
      <c r="M10" s="13">
        <f t="shared" si="2"/>
        <v>2700</v>
      </c>
      <c r="N10" s="9">
        <f t="shared" si="3"/>
        <v>0</v>
      </c>
      <c r="O10" s="2">
        <f t="shared" si="4"/>
        <v>0</v>
      </c>
      <c r="P10" s="8">
        <f>SUM(M10:O10)</f>
        <v>2700</v>
      </c>
      <c r="Q10" s="2">
        <f t="shared" si="5"/>
        <v>15000</v>
      </c>
      <c r="R10" s="2">
        <f t="shared" si="5"/>
        <v>2700</v>
      </c>
      <c r="S10" s="2">
        <f t="shared" si="5"/>
        <v>0</v>
      </c>
      <c r="T10" s="2">
        <f t="shared" si="5"/>
        <v>0</v>
      </c>
      <c r="U10" s="2">
        <f t="shared" si="5"/>
        <v>2700</v>
      </c>
      <c r="V10" s="1"/>
      <c r="W10" s="13">
        <f t="shared" si="6"/>
        <v>17700</v>
      </c>
      <c r="X10" s="1"/>
      <c r="Y10" s="1" t="str">
        <f t="shared" si="7"/>
        <v>15,000</v>
      </c>
      <c r="Z10" s="1" t="str">
        <f t="shared" si="7"/>
        <v>2,700</v>
      </c>
      <c r="AA10" s="1" t="str">
        <f t="shared" si="7"/>
        <v/>
      </c>
      <c r="AB10" s="1" t="str">
        <f t="shared" si="7"/>
        <v/>
      </c>
      <c r="AC10" s="1" t="str">
        <f t="shared" si="7"/>
        <v>2,700</v>
      </c>
      <c r="AD10" s="1" t="str">
        <f t="shared" si="8"/>
        <v>17,700</v>
      </c>
    </row>
    <row r="11" spans="1:30">
      <c r="A11" s="26">
        <f t="shared" si="9"/>
        <v>9</v>
      </c>
      <c r="B11" s="1" t="s">
        <v>34</v>
      </c>
      <c r="C11" s="19">
        <v>45442</v>
      </c>
      <c r="D11" s="1" t="s">
        <v>77</v>
      </c>
      <c r="E11" s="1" t="s">
        <v>82</v>
      </c>
      <c r="F11" s="1" t="s">
        <v>41</v>
      </c>
      <c r="G11" s="1">
        <f>IF(ISBLANK(F11),0,VLOOKUP(F11,Sheet2!$U$7:$V$14,2,0))</f>
        <v>998211</v>
      </c>
      <c r="H11" s="1" t="s">
        <v>42</v>
      </c>
      <c r="I11" s="5">
        <v>0.09</v>
      </c>
      <c r="J11" s="5">
        <f t="shared" si="1"/>
        <v>0.09</v>
      </c>
      <c r="K11" s="20">
        <v>0.18</v>
      </c>
      <c r="L11" s="2">
        <v>31500</v>
      </c>
      <c r="M11" s="13">
        <f t="shared" si="2"/>
        <v>5670</v>
      </c>
      <c r="N11" s="9">
        <f t="shared" si="3"/>
        <v>0</v>
      </c>
      <c r="O11" s="2">
        <f t="shared" si="4"/>
        <v>0</v>
      </c>
      <c r="P11" s="8">
        <f t="shared" si="10"/>
        <v>5670</v>
      </c>
      <c r="Q11" s="2">
        <f t="shared" si="5"/>
        <v>31500</v>
      </c>
      <c r="R11" s="2">
        <f t="shared" si="5"/>
        <v>5670</v>
      </c>
      <c r="S11" s="2">
        <f t="shared" si="5"/>
        <v>0</v>
      </c>
      <c r="T11" s="2">
        <f t="shared" si="5"/>
        <v>0</v>
      </c>
      <c r="U11" s="2">
        <f t="shared" si="5"/>
        <v>5670</v>
      </c>
      <c r="V11" s="1"/>
      <c r="W11" s="13">
        <f t="shared" si="6"/>
        <v>37170</v>
      </c>
      <c r="X11" s="1"/>
      <c r="Y11" s="1" t="str">
        <f t="shared" si="7"/>
        <v>31,500</v>
      </c>
      <c r="Z11" s="1" t="str">
        <f t="shared" si="7"/>
        <v>5,670</v>
      </c>
      <c r="AA11" s="1" t="str">
        <f t="shared" si="7"/>
        <v/>
      </c>
      <c r="AB11" s="1" t="str">
        <f t="shared" si="7"/>
        <v/>
      </c>
      <c r="AC11" s="1" t="str">
        <f t="shared" si="7"/>
        <v>5,670</v>
      </c>
      <c r="AD11" s="1" t="str">
        <f t="shared" si="8"/>
        <v>37,170</v>
      </c>
    </row>
    <row r="12" spans="1:30">
      <c r="A12" s="26">
        <f t="shared" si="9"/>
        <v>10</v>
      </c>
      <c r="B12" s="1" t="s">
        <v>34</v>
      </c>
      <c r="C12" s="19">
        <v>45429</v>
      </c>
      <c r="D12" s="1" t="s">
        <v>58</v>
      </c>
      <c r="E12" s="1" t="s">
        <v>59</v>
      </c>
      <c r="F12" s="1" t="s">
        <v>61</v>
      </c>
      <c r="G12" s="1">
        <f>IF(ISBLANK(F12),0,VLOOKUP(F12,Sheet2!$U$7:$V$14,2,0))</f>
        <v>999799</v>
      </c>
      <c r="H12" s="1" t="s">
        <v>48</v>
      </c>
      <c r="I12" s="5">
        <v>0.09</v>
      </c>
      <c r="J12" s="5">
        <f t="shared" si="1"/>
        <v>0.09</v>
      </c>
      <c r="K12" s="20">
        <v>0.18</v>
      </c>
      <c r="L12" s="2">
        <v>5581769.9960000003</v>
      </c>
      <c r="M12" s="13">
        <f t="shared" si="2"/>
        <v>1004718.59928</v>
      </c>
      <c r="N12" s="9">
        <f t="shared" si="3"/>
        <v>0</v>
      </c>
      <c r="O12" s="2">
        <f t="shared" si="4"/>
        <v>0</v>
      </c>
      <c r="P12" s="8">
        <f t="shared" si="10"/>
        <v>1004718.59928</v>
      </c>
      <c r="Q12" s="2">
        <f t="shared" si="5"/>
        <v>5581770</v>
      </c>
      <c r="R12" s="2">
        <f t="shared" si="5"/>
        <v>1004718.6</v>
      </c>
      <c r="S12" s="2">
        <f t="shared" si="5"/>
        <v>0</v>
      </c>
      <c r="T12" s="2">
        <f t="shared" si="5"/>
        <v>0</v>
      </c>
      <c r="U12" s="2">
        <f t="shared" si="5"/>
        <v>1004718.6</v>
      </c>
      <c r="V12" s="1"/>
      <c r="W12" s="13">
        <f t="shared" si="6"/>
        <v>6586488.5999999996</v>
      </c>
      <c r="X12" s="1"/>
      <c r="Y12" s="1" t="str">
        <f t="shared" si="7"/>
        <v>5,581,770</v>
      </c>
      <c r="Z12" s="1" t="str">
        <f t="shared" si="7"/>
        <v>1,004,719</v>
      </c>
      <c r="AA12" s="1" t="str">
        <f t="shared" si="7"/>
        <v/>
      </c>
      <c r="AB12" s="1" t="str">
        <f t="shared" si="7"/>
        <v/>
      </c>
      <c r="AC12" s="1" t="str">
        <f t="shared" si="7"/>
        <v>1,004,719</v>
      </c>
      <c r="AD12" s="1" t="str">
        <f t="shared" si="8"/>
        <v>6,586,489</v>
      </c>
    </row>
    <row r="13" spans="1:30">
      <c r="A13" s="26">
        <f t="shared" si="9"/>
        <v>11</v>
      </c>
      <c r="B13" s="1" t="s">
        <v>34</v>
      </c>
      <c r="C13" s="19">
        <v>45504</v>
      </c>
      <c r="D13" s="1" t="s">
        <v>63</v>
      </c>
      <c r="E13" s="1" t="s">
        <v>64</v>
      </c>
      <c r="F13" s="1" t="s">
        <v>47</v>
      </c>
      <c r="G13" s="1">
        <f>IF(ISBLANK(F13),0,VLOOKUP(F13,Sheet2!$U$7:$V$14,2,0))</f>
        <v>997331</v>
      </c>
      <c r="H13" s="1" t="s">
        <v>48</v>
      </c>
      <c r="I13" s="5">
        <v>0.09</v>
      </c>
      <c r="J13" s="5">
        <f t="shared" si="1"/>
        <v>0.09</v>
      </c>
      <c r="K13" s="20">
        <v>0.18</v>
      </c>
      <c r="L13" s="12">
        <v>5095200</v>
      </c>
      <c r="M13" s="13">
        <f t="shared" si="2"/>
        <v>917136</v>
      </c>
      <c r="N13" s="9">
        <f t="shared" si="3"/>
        <v>0</v>
      </c>
      <c r="O13" s="2">
        <f t="shared" si="4"/>
        <v>0</v>
      </c>
      <c r="P13" s="8">
        <f t="shared" ref="P13:P20" si="11">SUM(M13:O13)</f>
        <v>917136</v>
      </c>
      <c r="Q13" s="2">
        <f t="shared" si="5"/>
        <v>5095200</v>
      </c>
      <c r="R13" s="2">
        <f t="shared" si="5"/>
        <v>917136</v>
      </c>
      <c r="S13" s="2">
        <f t="shared" si="5"/>
        <v>0</v>
      </c>
      <c r="T13" s="2">
        <f t="shared" si="5"/>
        <v>0</v>
      </c>
      <c r="U13" s="2">
        <f t="shared" si="5"/>
        <v>917136</v>
      </c>
      <c r="V13" s="1"/>
      <c r="W13" s="13">
        <f t="shared" si="6"/>
        <v>6012336</v>
      </c>
      <c r="X13" s="1"/>
      <c r="Y13" s="1" t="str">
        <f t="shared" si="7"/>
        <v>5,095,200</v>
      </c>
      <c r="Z13" s="1" t="str">
        <f t="shared" si="7"/>
        <v>917,136</v>
      </c>
      <c r="AA13" s="1" t="str">
        <f t="shared" si="7"/>
        <v/>
      </c>
      <c r="AB13" s="1" t="str">
        <f t="shared" si="7"/>
        <v/>
      </c>
      <c r="AC13" s="1" t="str">
        <f t="shared" si="7"/>
        <v>917,136</v>
      </c>
      <c r="AD13" s="1" t="str">
        <f t="shared" si="8"/>
        <v>6,012,336</v>
      </c>
    </row>
    <row r="14" spans="1:30">
      <c r="A14" s="26">
        <f t="shared" si="9"/>
        <v>12</v>
      </c>
      <c r="B14" s="1" t="s">
        <v>34</v>
      </c>
      <c r="C14" s="19">
        <v>45544</v>
      </c>
      <c r="D14" s="1" t="s">
        <v>77</v>
      </c>
      <c r="E14" s="1" t="s">
        <v>83</v>
      </c>
      <c r="F14" s="1" t="s">
        <v>84</v>
      </c>
      <c r="G14" s="1">
        <f>IF(ISBLANK(F14),0,VLOOKUP(F14,Sheet2!$U$7:$V$14,2,0))</f>
        <v>996412</v>
      </c>
      <c r="H14" s="1" t="s">
        <v>25</v>
      </c>
      <c r="I14" s="5">
        <v>2.5000000000000001E-2</v>
      </c>
      <c r="J14" s="5">
        <f t="shared" si="1"/>
        <v>2.5000000000000001E-2</v>
      </c>
      <c r="K14" s="20">
        <v>0.05</v>
      </c>
      <c r="L14" s="12">
        <v>16000</v>
      </c>
      <c r="M14" s="13">
        <f t="shared" si="2"/>
        <v>0</v>
      </c>
      <c r="N14" s="9">
        <f t="shared" si="3"/>
        <v>400</v>
      </c>
      <c r="O14" s="2">
        <f t="shared" si="4"/>
        <v>400</v>
      </c>
      <c r="P14" s="8">
        <f t="shared" si="11"/>
        <v>800</v>
      </c>
      <c r="Q14" s="2">
        <f t="shared" si="5"/>
        <v>16000</v>
      </c>
      <c r="R14" s="2">
        <f t="shared" si="5"/>
        <v>0</v>
      </c>
      <c r="S14" s="2">
        <f t="shared" si="5"/>
        <v>400</v>
      </c>
      <c r="T14" s="2">
        <f t="shared" si="5"/>
        <v>400</v>
      </c>
      <c r="U14" s="2">
        <f t="shared" si="5"/>
        <v>800</v>
      </c>
      <c r="V14" s="1"/>
      <c r="W14" s="13">
        <f t="shared" si="6"/>
        <v>16800</v>
      </c>
      <c r="X14" s="1"/>
      <c r="Y14" s="1" t="str">
        <f t="shared" si="7"/>
        <v>16,000</v>
      </c>
      <c r="Z14" s="1" t="str">
        <f t="shared" si="7"/>
        <v/>
      </c>
      <c r="AA14" s="1" t="str">
        <f t="shared" si="7"/>
        <v>400</v>
      </c>
      <c r="AB14" s="1" t="str">
        <f t="shared" si="7"/>
        <v>400</v>
      </c>
      <c r="AC14" s="1" t="str">
        <f t="shared" si="7"/>
        <v>800</v>
      </c>
      <c r="AD14" s="1" t="str">
        <f t="shared" si="8"/>
        <v>16,800</v>
      </c>
    </row>
    <row r="15" spans="1:30">
      <c r="A15" s="26">
        <f t="shared" si="9"/>
        <v>13</v>
      </c>
      <c r="B15" s="1" t="s">
        <v>34</v>
      </c>
      <c r="C15" s="19">
        <v>45544</v>
      </c>
      <c r="D15" s="1" t="s">
        <v>77</v>
      </c>
      <c r="E15" s="1" t="s">
        <v>83</v>
      </c>
      <c r="F15" s="1" t="s">
        <v>84</v>
      </c>
      <c r="G15" s="1">
        <f>IF(ISBLANK(F15),0,VLOOKUP(F15,Sheet2!$U$7:$V$14,2,0))</f>
        <v>996412</v>
      </c>
      <c r="H15" s="1" t="s">
        <v>25</v>
      </c>
      <c r="I15" s="5">
        <v>2.5000000000000001E-2</v>
      </c>
      <c r="J15" s="5">
        <f t="shared" si="1"/>
        <v>2.5000000000000001E-2</v>
      </c>
      <c r="K15" s="20">
        <v>0.05</v>
      </c>
      <c r="L15" s="12">
        <v>8500</v>
      </c>
      <c r="M15" s="13">
        <f t="shared" si="2"/>
        <v>0</v>
      </c>
      <c r="N15" s="9">
        <f t="shared" si="3"/>
        <v>212.5</v>
      </c>
      <c r="O15" s="2">
        <f t="shared" si="4"/>
        <v>212.5</v>
      </c>
      <c r="P15" s="8">
        <f t="shared" si="11"/>
        <v>425</v>
      </c>
      <c r="Q15" s="2">
        <f t="shared" si="5"/>
        <v>8500</v>
      </c>
      <c r="R15" s="2">
        <f t="shared" si="5"/>
        <v>0</v>
      </c>
      <c r="S15" s="2">
        <f t="shared" si="5"/>
        <v>212.5</v>
      </c>
      <c r="T15" s="2">
        <f t="shared" si="5"/>
        <v>212.5</v>
      </c>
      <c r="U15" s="2">
        <f t="shared" si="5"/>
        <v>425</v>
      </c>
      <c r="V15" s="1"/>
      <c r="W15" s="13">
        <f t="shared" si="6"/>
        <v>8925</v>
      </c>
      <c r="X15" s="1"/>
      <c r="Y15" s="1" t="str">
        <f t="shared" si="7"/>
        <v>8,500</v>
      </c>
      <c r="Z15" s="1" t="str">
        <f t="shared" si="7"/>
        <v/>
      </c>
      <c r="AA15" s="1" t="str">
        <f t="shared" si="7"/>
        <v>213</v>
      </c>
      <c r="AB15" s="1" t="str">
        <f t="shared" si="7"/>
        <v>213</v>
      </c>
      <c r="AC15" s="1" t="str">
        <f t="shared" si="7"/>
        <v>425</v>
      </c>
      <c r="AD15" s="1" t="str">
        <f t="shared" si="8"/>
        <v>8,925</v>
      </c>
    </row>
    <row r="16" spans="1:30">
      <c r="A16" s="26">
        <f t="shared" si="9"/>
        <v>14</v>
      </c>
      <c r="B16" s="1" t="s">
        <v>34</v>
      </c>
      <c r="C16" s="19">
        <v>45544</v>
      </c>
      <c r="D16" s="1" t="s">
        <v>77</v>
      </c>
      <c r="E16" s="1" t="s">
        <v>83</v>
      </c>
      <c r="F16" s="1" t="s">
        <v>84</v>
      </c>
      <c r="G16" s="1">
        <f>IF(ISBLANK(F16),0,VLOOKUP(F16,Sheet2!$U$7:$V$14,2,0))</f>
        <v>996412</v>
      </c>
      <c r="H16" s="1" t="s">
        <v>25</v>
      </c>
      <c r="I16" s="5">
        <v>2.5000000000000001E-2</v>
      </c>
      <c r="J16" s="5">
        <f t="shared" si="1"/>
        <v>2.5000000000000001E-2</v>
      </c>
      <c r="K16" s="20">
        <v>0.05</v>
      </c>
      <c r="L16" s="12">
        <v>15323.199999999999</v>
      </c>
      <c r="M16" s="13">
        <f t="shared" si="2"/>
        <v>0</v>
      </c>
      <c r="N16" s="14">
        <f t="shared" si="3"/>
        <v>383.08</v>
      </c>
      <c r="O16" s="13">
        <f t="shared" si="4"/>
        <v>383.08</v>
      </c>
      <c r="P16" s="15">
        <f t="shared" si="11"/>
        <v>766.16</v>
      </c>
      <c r="Q16" s="2">
        <f t="shared" si="5"/>
        <v>15323.2</v>
      </c>
      <c r="R16" s="2">
        <f t="shared" si="5"/>
        <v>0</v>
      </c>
      <c r="S16" s="2">
        <f t="shared" si="5"/>
        <v>383.08</v>
      </c>
      <c r="T16" s="2">
        <f t="shared" si="5"/>
        <v>383.08</v>
      </c>
      <c r="U16" s="2">
        <f t="shared" si="5"/>
        <v>766.16</v>
      </c>
      <c r="V16" s="1"/>
      <c r="W16" s="13">
        <f t="shared" si="6"/>
        <v>16089.36</v>
      </c>
      <c r="X16" s="1"/>
      <c r="Y16" s="1" t="str">
        <f t="shared" si="7"/>
        <v>15,323</v>
      </c>
      <c r="Z16" s="1" t="str">
        <f t="shared" si="7"/>
        <v/>
      </c>
      <c r="AA16" s="1" t="str">
        <f t="shared" si="7"/>
        <v>383</v>
      </c>
      <c r="AB16" s="1" t="str">
        <f t="shared" si="7"/>
        <v>383</v>
      </c>
      <c r="AC16" s="1" t="str">
        <f t="shared" si="7"/>
        <v>766</v>
      </c>
      <c r="AD16" s="1" t="str">
        <f t="shared" si="8"/>
        <v>16,089</v>
      </c>
    </row>
    <row r="17" spans="1:30">
      <c r="A17" s="26">
        <f t="shared" si="9"/>
        <v>15</v>
      </c>
      <c r="B17" s="1" t="s">
        <v>34</v>
      </c>
      <c r="C17" s="19">
        <v>45544</v>
      </c>
      <c r="D17" s="1" t="s">
        <v>77</v>
      </c>
      <c r="E17" s="1" t="s">
        <v>83</v>
      </c>
      <c r="F17" s="1" t="s">
        <v>84</v>
      </c>
      <c r="G17" s="1">
        <f>IF(ISBLANK(F17),0,VLOOKUP(F17,Sheet2!$U$7:$V$14,2,0))</f>
        <v>996412</v>
      </c>
      <c r="H17" s="1" t="s">
        <v>25</v>
      </c>
      <c r="I17" s="5">
        <v>2.5000000000000001E-2</v>
      </c>
      <c r="J17" s="5">
        <f t="shared" si="1"/>
        <v>2.5000000000000001E-2</v>
      </c>
      <c r="K17" s="20">
        <v>0.05</v>
      </c>
      <c r="L17" s="2">
        <v>3105.2</v>
      </c>
      <c r="M17" s="13">
        <f t="shared" si="2"/>
        <v>0</v>
      </c>
      <c r="N17" s="9">
        <f t="shared" si="3"/>
        <v>77.63</v>
      </c>
      <c r="O17" s="2">
        <f t="shared" si="4"/>
        <v>77.63</v>
      </c>
      <c r="P17" s="8">
        <f t="shared" si="11"/>
        <v>155.26</v>
      </c>
      <c r="Q17" s="2">
        <f t="shared" si="5"/>
        <v>3105.2</v>
      </c>
      <c r="R17" s="2">
        <f t="shared" si="5"/>
        <v>0</v>
      </c>
      <c r="S17" s="2">
        <f t="shared" si="5"/>
        <v>77.63</v>
      </c>
      <c r="T17" s="2">
        <f t="shared" si="5"/>
        <v>77.63</v>
      </c>
      <c r="U17" s="2">
        <f t="shared" si="5"/>
        <v>155.26</v>
      </c>
      <c r="V17" s="1"/>
      <c r="W17" s="13">
        <f t="shared" si="6"/>
        <v>3260.46</v>
      </c>
      <c r="X17" s="1"/>
      <c r="Y17" s="1" t="str">
        <f t="shared" si="7"/>
        <v>3,105</v>
      </c>
      <c r="Z17" s="1" t="str">
        <f t="shared" si="7"/>
        <v/>
      </c>
      <c r="AA17" s="1" t="str">
        <f t="shared" si="7"/>
        <v>78</v>
      </c>
      <c r="AB17" s="1" t="str">
        <f t="shared" si="7"/>
        <v>78</v>
      </c>
      <c r="AC17" s="1" t="str">
        <f t="shared" si="7"/>
        <v>155</v>
      </c>
      <c r="AD17" s="1" t="str">
        <f t="shared" si="8"/>
        <v>3,260</v>
      </c>
    </row>
    <row r="18" spans="1:30">
      <c r="A18" s="26">
        <f t="shared" si="9"/>
        <v>16</v>
      </c>
      <c r="B18" s="1" t="s">
        <v>34</v>
      </c>
      <c r="C18" s="19">
        <v>45544</v>
      </c>
      <c r="D18" s="1" t="s">
        <v>77</v>
      </c>
      <c r="E18" s="1" t="s">
        <v>83</v>
      </c>
      <c r="F18" s="1" t="s">
        <v>84</v>
      </c>
      <c r="G18" s="1">
        <f>IF(ISBLANK(F18),0,VLOOKUP(F18,Sheet2!$U$7:$V$14,2,0))</f>
        <v>996412</v>
      </c>
      <c r="H18" s="1" t="s">
        <v>25</v>
      </c>
      <c r="I18" s="5">
        <v>2.5000000000000001E-2</v>
      </c>
      <c r="J18" s="5">
        <f t="shared" si="1"/>
        <v>2.5000000000000001E-2</v>
      </c>
      <c r="K18" s="20">
        <v>0.05</v>
      </c>
      <c r="L18" s="12">
        <v>3457.2000000000003</v>
      </c>
      <c r="M18" s="13">
        <f t="shared" si="2"/>
        <v>0</v>
      </c>
      <c r="N18" s="9">
        <f t="shared" si="3"/>
        <v>86.43</v>
      </c>
      <c r="O18" s="2">
        <f t="shared" si="4"/>
        <v>86.43</v>
      </c>
      <c r="P18" s="8">
        <f t="shared" si="11"/>
        <v>172.86</v>
      </c>
      <c r="Q18" s="2">
        <f t="shared" si="5"/>
        <v>3457.2</v>
      </c>
      <c r="R18" s="2">
        <f t="shared" si="5"/>
        <v>0</v>
      </c>
      <c r="S18" s="2">
        <f t="shared" si="5"/>
        <v>86.43</v>
      </c>
      <c r="T18" s="2">
        <f t="shared" si="5"/>
        <v>86.43</v>
      </c>
      <c r="U18" s="2">
        <f t="shared" si="5"/>
        <v>172.86</v>
      </c>
      <c r="V18" s="1"/>
      <c r="W18" s="13">
        <f t="shared" si="6"/>
        <v>3630.0599999999995</v>
      </c>
      <c r="X18" s="1"/>
      <c r="Y18" s="1" t="str">
        <f t="shared" si="7"/>
        <v>3,457</v>
      </c>
      <c r="Z18" s="1" t="str">
        <f t="shared" si="7"/>
        <v/>
      </c>
      <c r="AA18" s="1" t="str">
        <f t="shared" si="7"/>
        <v>86</v>
      </c>
      <c r="AB18" s="1" t="str">
        <f t="shared" si="7"/>
        <v>86</v>
      </c>
      <c r="AC18" s="1" t="str">
        <f t="shared" si="7"/>
        <v>173</v>
      </c>
      <c r="AD18" s="1" t="str">
        <f t="shared" si="8"/>
        <v>3,630</v>
      </c>
    </row>
    <row r="19" spans="1:30">
      <c r="A19" s="26">
        <f t="shared" si="9"/>
        <v>17</v>
      </c>
      <c r="B19" s="1" t="s">
        <v>34</v>
      </c>
      <c r="C19" s="19">
        <v>45544</v>
      </c>
      <c r="D19" s="1" t="s">
        <v>77</v>
      </c>
      <c r="E19" s="1" t="s">
        <v>83</v>
      </c>
      <c r="F19" s="1" t="s">
        <v>84</v>
      </c>
      <c r="G19" s="1">
        <f>IF(ISBLANK(F19),0,VLOOKUP(F19,Sheet2!$U$7:$V$14,2,0))</f>
        <v>996412</v>
      </c>
      <c r="H19" s="1" t="s">
        <v>25</v>
      </c>
      <c r="I19" s="5">
        <v>2.5000000000000001E-2</v>
      </c>
      <c r="J19" s="5">
        <f t="shared" si="1"/>
        <v>2.5000000000000001E-2</v>
      </c>
      <c r="K19" s="20">
        <v>0.05</v>
      </c>
      <c r="L19" s="12">
        <v>4583.9999999999991</v>
      </c>
      <c r="M19" s="13">
        <f t="shared" si="2"/>
        <v>0</v>
      </c>
      <c r="N19" s="9">
        <f t="shared" si="3"/>
        <v>114.59999999999998</v>
      </c>
      <c r="O19" s="2">
        <f t="shared" si="4"/>
        <v>114.59999999999998</v>
      </c>
      <c r="P19" s="8">
        <f t="shared" si="11"/>
        <v>229.19999999999996</v>
      </c>
      <c r="Q19" s="2">
        <f t="shared" si="5"/>
        <v>4584</v>
      </c>
      <c r="R19" s="2">
        <f t="shared" si="5"/>
        <v>0</v>
      </c>
      <c r="S19" s="2">
        <f t="shared" si="5"/>
        <v>114.6</v>
      </c>
      <c r="T19" s="2">
        <f t="shared" si="5"/>
        <v>114.6</v>
      </c>
      <c r="U19" s="2">
        <f t="shared" si="5"/>
        <v>229.2</v>
      </c>
      <c r="V19" s="1"/>
      <c r="W19" s="13">
        <f t="shared" si="6"/>
        <v>4813.2000000000007</v>
      </c>
      <c r="X19" s="1"/>
      <c r="Y19" s="1" t="str">
        <f t="shared" si="7"/>
        <v>4,584</v>
      </c>
      <c r="Z19" s="1" t="str">
        <f t="shared" si="7"/>
        <v/>
      </c>
      <c r="AA19" s="1" t="str">
        <f t="shared" si="7"/>
        <v>115</v>
      </c>
      <c r="AB19" s="1" t="str">
        <f t="shared" si="7"/>
        <v>115</v>
      </c>
      <c r="AC19" s="1" t="str">
        <f t="shared" si="7"/>
        <v>229</v>
      </c>
      <c r="AD19" s="1" t="str">
        <f t="shared" si="8"/>
        <v>4,813</v>
      </c>
    </row>
    <row r="20" spans="1:30">
      <c r="A20" s="26">
        <f t="shared" si="9"/>
        <v>18</v>
      </c>
      <c r="B20" s="1" t="s">
        <v>34</v>
      </c>
      <c r="C20" s="19">
        <v>45544</v>
      </c>
      <c r="D20" s="1" t="s">
        <v>77</v>
      </c>
      <c r="E20" s="1" t="s">
        <v>83</v>
      </c>
      <c r="F20" s="1" t="s">
        <v>84</v>
      </c>
      <c r="G20" s="1">
        <f>IF(ISBLANK(F20),0,VLOOKUP(F20,Sheet2!$U$7:$V$14,2,0))</f>
        <v>996412</v>
      </c>
      <c r="H20" s="1" t="s">
        <v>25</v>
      </c>
      <c r="I20" s="5">
        <v>2.5000000000000001E-2</v>
      </c>
      <c r="J20" s="5">
        <f t="shared" si="1"/>
        <v>2.5000000000000001E-2</v>
      </c>
      <c r="K20" s="20">
        <v>0.05</v>
      </c>
      <c r="L20" s="12">
        <v>2300</v>
      </c>
      <c r="M20" s="13">
        <f t="shared" si="2"/>
        <v>0</v>
      </c>
      <c r="N20" s="9">
        <f t="shared" si="3"/>
        <v>57.5</v>
      </c>
      <c r="O20" s="2">
        <f t="shared" si="4"/>
        <v>57.5</v>
      </c>
      <c r="P20" s="8">
        <f t="shared" si="11"/>
        <v>115</v>
      </c>
      <c r="Q20" s="2">
        <f t="shared" si="5"/>
        <v>2300</v>
      </c>
      <c r="R20" s="2">
        <f t="shared" si="5"/>
        <v>0</v>
      </c>
      <c r="S20" s="2">
        <f t="shared" si="5"/>
        <v>57.5</v>
      </c>
      <c r="T20" s="2">
        <f t="shared" si="5"/>
        <v>57.5</v>
      </c>
      <c r="U20" s="2">
        <f t="shared" si="5"/>
        <v>115</v>
      </c>
      <c r="V20" s="1"/>
      <c r="W20" s="13">
        <f t="shared" si="6"/>
        <v>2415</v>
      </c>
      <c r="X20" s="1"/>
      <c r="Y20" s="1" t="str">
        <f t="shared" si="7"/>
        <v>2,300</v>
      </c>
      <c r="Z20" s="1" t="str">
        <f t="shared" si="7"/>
        <v/>
      </c>
      <c r="AA20" s="1" t="str">
        <f t="shared" si="7"/>
        <v>58</v>
      </c>
      <c r="AB20" s="1" t="str">
        <f t="shared" si="7"/>
        <v>58</v>
      </c>
      <c r="AC20" s="1" t="str">
        <f t="shared" si="7"/>
        <v>115</v>
      </c>
      <c r="AD20" s="1" t="str">
        <f t="shared" si="8"/>
        <v>2,415</v>
      </c>
    </row>
    <row r="21" spans="1:30">
      <c r="A21" s="26">
        <f t="shared" si="9"/>
        <v>19</v>
      </c>
      <c r="B21" s="1" t="s">
        <v>34</v>
      </c>
      <c r="C21" s="19">
        <v>45544</v>
      </c>
      <c r="D21" s="1" t="s">
        <v>77</v>
      </c>
      <c r="E21" s="1" t="s">
        <v>83</v>
      </c>
      <c r="F21" s="1" t="s">
        <v>84</v>
      </c>
      <c r="G21" s="1">
        <f>IF(ISBLANK(F21),0,VLOOKUP(F21,Sheet2!$U$7:$V$14,2,0))</f>
        <v>996412</v>
      </c>
      <c r="H21" s="1" t="s">
        <v>25</v>
      </c>
      <c r="I21" s="5">
        <v>2.5000000000000001E-2</v>
      </c>
      <c r="J21" s="5">
        <f t="shared" si="1"/>
        <v>2.5000000000000001E-2</v>
      </c>
      <c r="K21" s="20">
        <v>0.05</v>
      </c>
      <c r="L21" s="2">
        <v>2689.2</v>
      </c>
      <c r="M21" s="13">
        <f t="shared" si="2"/>
        <v>0</v>
      </c>
      <c r="N21" s="9">
        <f t="shared" si="3"/>
        <v>67.23</v>
      </c>
      <c r="O21" s="2">
        <f t="shared" si="4"/>
        <v>67.23</v>
      </c>
      <c r="P21" s="8">
        <f>SUM(M21:O21)</f>
        <v>134.46</v>
      </c>
      <c r="Q21" s="2">
        <f t="shared" si="5"/>
        <v>2689.2</v>
      </c>
      <c r="R21" s="2">
        <f t="shared" si="5"/>
        <v>0</v>
      </c>
      <c r="S21" s="2">
        <f t="shared" si="5"/>
        <v>67.23</v>
      </c>
      <c r="T21" s="2">
        <f t="shared" si="5"/>
        <v>67.23</v>
      </c>
      <c r="U21" s="2">
        <f t="shared" si="5"/>
        <v>134.46</v>
      </c>
      <c r="V21" s="1"/>
      <c r="W21" s="13">
        <f t="shared" si="6"/>
        <v>2823.66</v>
      </c>
      <c r="X21" s="1"/>
      <c r="Y21" s="1" t="str">
        <f t="shared" si="7"/>
        <v>2,689</v>
      </c>
      <c r="Z21" s="1" t="str">
        <f t="shared" si="7"/>
        <v/>
      </c>
      <c r="AA21" s="1" t="str">
        <f t="shared" si="7"/>
        <v>67</v>
      </c>
      <c r="AB21" s="1" t="str">
        <f t="shared" si="7"/>
        <v>67</v>
      </c>
      <c r="AC21" s="1" t="str">
        <f t="shared" si="7"/>
        <v>134</v>
      </c>
      <c r="AD21" s="1" t="str">
        <f t="shared" si="8"/>
        <v>2,824</v>
      </c>
    </row>
    <row r="22" spans="1:30">
      <c r="A22" s="26">
        <f t="shared" si="9"/>
        <v>20</v>
      </c>
      <c r="B22" s="1" t="s">
        <v>34</v>
      </c>
      <c r="C22" s="19">
        <v>45538</v>
      </c>
      <c r="D22" s="1" t="s">
        <v>77</v>
      </c>
      <c r="E22" s="1" t="s">
        <v>85</v>
      </c>
      <c r="F22" s="1" t="s">
        <v>41</v>
      </c>
      <c r="G22" s="1">
        <f>IF(ISBLANK(F22),0,VLOOKUP(F22,Sheet2!$U$7:$V$14,2,0))</f>
        <v>998211</v>
      </c>
      <c r="H22" s="1" t="s">
        <v>25</v>
      </c>
      <c r="I22" s="5">
        <v>0.09</v>
      </c>
      <c r="J22" s="5">
        <f t="shared" si="1"/>
        <v>0.09</v>
      </c>
      <c r="K22" s="20">
        <v>0.18</v>
      </c>
      <c r="L22" s="12">
        <v>1400000</v>
      </c>
      <c r="M22" s="13">
        <f t="shared" si="2"/>
        <v>0</v>
      </c>
      <c r="N22" s="14">
        <f t="shared" si="3"/>
        <v>126000</v>
      </c>
      <c r="O22" s="13">
        <f t="shared" si="4"/>
        <v>126000</v>
      </c>
      <c r="P22" s="15">
        <f t="shared" ref="P22" si="12">SUM(M22:O22)</f>
        <v>252000</v>
      </c>
      <c r="Q22" s="2">
        <f t="shared" si="5"/>
        <v>1400000</v>
      </c>
      <c r="R22" s="2">
        <f t="shared" si="5"/>
        <v>0</v>
      </c>
      <c r="S22" s="2">
        <f t="shared" si="5"/>
        <v>126000</v>
      </c>
      <c r="T22" s="2">
        <f t="shared" si="5"/>
        <v>126000</v>
      </c>
      <c r="U22" s="2">
        <f t="shared" si="5"/>
        <v>252000</v>
      </c>
      <c r="V22" s="1"/>
      <c r="W22" s="13">
        <f t="shared" si="6"/>
        <v>1652000</v>
      </c>
      <c r="X22" s="1"/>
      <c r="Y22" s="1" t="str">
        <f t="shared" si="7"/>
        <v>1,400,000</v>
      </c>
      <c r="Z22" s="1" t="str">
        <f t="shared" si="7"/>
        <v/>
      </c>
      <c r="AA22" s="1" t="str">
        <f t="shared" si="7"/>
        <v>126,000</v>
      </c>
      <c r="AB22" s="1" t="str">
        <f t="shared" si="7"/>
        <v>126,000</v>
      </c>
      <c r="AC22" s="1" t="str">
        <f t="shared" si="7"/>
        <v>252,000</v>
      </c>
      <c r="AD22" s="1" t="str">
        <f t="shared" si="8"/>
        <v>1,652,000</v>
      </c>
    </row>
    <row r="23" spans="1:30">
      <c r="A23" s="26">
        <f t="shared" si="9"/>
        <v>21</v>
      </c>
      <c r="B23" s="1" t="s">
        <v>34</v>
      </c>
      <c r="C23" s="19">
        <v>45558</v>
      </c>
      <c r="D23" s="1" t="s">
        <v>67</v>
      </c>
      <c r="E23" s="1" t="s">
        <v>68</v>
      </c>
      <c r="F23" s="1" t="s">
        <v>47</v>
      </c>
      <c r="G23" s="1">
        <f>IF(ISBLANK(F23),0,VLOOKUP(F23,Sheet2!$U$7:$V$14,2,0))</f>
        <v>997331</v>
      </c>
      <c r="H23" s="1" t="s">
        <v>48</v>
      </c>
      <c r="I23" s="5">
        <v>0.09</v>
      </c>
      <c r="J23" s="5">
        <f t="shared" si="1"/>
        <v>0.09</v>
      </c>
      <c r="K23" s="20">
        <v>0.18</v>
      </c>
      <c r="L23" s="12">
        <v>302222.88</v>
      </c>
      <c r="M23" s="13">
        <f t="shared" si="2"/>
        <v>54400.118399999999</v>
      </c>
      <c r="N23" s="14">
        <f t="shared" si="3"/>
        <v>0</v>
      </c>
      <c r="O23" s="13">
        <f t="shared" si="4"/>
        <v>0</v>
      </c>
      <c r="P23" s="15">
        <f t="shared" ref="P23:P31" si="13">SUM(M23:O23)</f>
        <v>54400.118399999999</v>
      </c>
      <c r="Q23" s="2">
        <f t="shared" si="5"/>
        <v>302222.88</v>
      </c>
      <c r="R23" s="2">
        <f t="shared" si="5"/>
        <v>54400.12</v>
      </c>
      <c r="S23" s="2">
        <f t="shared" si="5"/>
        <v>0</v>
      </c>
      <c r="T23" s="2">
        <f t="shared" si="5"/>
        <v>0</v>
      </c>
      <c r="U23" s="2">
        <f t="shared" si="5"/>
        <v>54400.12</v>
      </c>
      <c r="V23" s="1"/>
      <c r="W23" s="13">
        <f t="shared" si="6"/>
        <v>356623</v>
      </c>
      <c r="X23" s="1"/>
      <c r="Y23" s="1" t="str">
        <f t="shared" si="7"/>
        <v>302,223</v>
      </c>
      <c r="Z23" s="1" t="str">
        <f t="shared" si="7"/>
        <v>54,400</v>
      </c>
      <c r="AA23" s="1" t="str">
        <f t="shared" si="7"/>
        <v/>
      </c>
      <c r="AB23" s="1" t="str">
        <f t="shared" si="7"/>
        <v/>
      </c>
      <c r="AC23" s="1" t="str">
        <f t="shared" si="7"/>
        <v>54,400</v>
      </c>
      <c r="AD23" s="1" t="str">
        <f t="shared" si="8"/>
        <v>356,623</v>
      </c>
    </row>
    <row r="24" spans="1:30">
      <c r="A24" s="26">
        <f t="shared" si="9"/>
        <v>22</v>
      </c>
      <c r="B24" s="1" t="s">
        <v>34</v>
      </c>
      <c r="C24" s="19">
        <v>45565</v>
      </c>
      <c r="D24" s="1" t="s">
        <v>77</v>
      </c>
      <c r="E24" s="1" t="s">
        <v>80</v>
      </c>
      <c r="F24" s="1" t="s">
        <v>41</v>
      </c>
      <c r="G24" s="1">
        <f>IF(ISBLANK(F24),0,VLOOKUP(F24,Sheet2!$U$7:$V$14,2,0))</f>
        <v>998211</v>
      </c>
      <c r="H24" s="1" t="s">
        <v>42</v>
      </c>
      <c r="I24" s="5">
        <v>0.09</v>
      </c>
      <c r="J24" s="5">
        <f t="shared" si="1"/>
        <v>0.09</v>
      </c>
      <c r="K24" s="20">
        <v>0.18</v>
      </c>
      <c r="L24" s="12">
        <v>413875</v>
      </c>
      <c r="M24" s="13">
        <f t="shared" si="2"/>
        <v>74497.5</v>
      </c>
      <c r="N24" s="14">
        <f t="shared" si="3"/>
        <v>0</v>
      </c>
      <c r="O24" s="13">
        <f t="shared" si="4"/>
        <v>0</v>
      </c>
      <c r="P24" s="15">
        <f t="shared" si="13"/>
        <v>74497.5</v>
      </c>
      <c r="Q24" s="2">
        <f t="shared" si="5"/>
        <v>413875</v>
      </c>
      <c r="R24" s="2">
        <f t="shared" si="5"/>
        <v>74497.5</v>
      </c>
      <c r="S24" s="2">
        <f t="shared" si="5"/>
        <v>0</v>
      </c>
      <c r="T24" s="2">
        <f t="shared" si="5"/>
        <v>0</v>
      </c>
      <c r="U24" s="2">
        <f t="shared" si="5"/>
        <v>74497.5</v>
      </c>
      <c r="V24" s="1"/>
      <c r="W24" s="13">
        <f t="shared" si="6"/>
        <v>488372.5</v>
      </c>
      <c r="X24" s="1"/>
      <c r="Y24" s="1" t="str">
        <f t="shared" si="7"/>
        <v>413,875</v>
      </c>
      <c r="Z24" s="1" t="str">
        <f t="shared" si="7"/>
        <v>74,498</v>
      </c>
      <c r="AA24" s="1" t="str">
        <f t="shared" si="7"/>
        <v/>
      </c>
      <c r="AB24" s="1" t="str">
        <f t="shared" si="7"/>
        <v/>
      </c>
      <c r="AC24" s="1" t="str">
        <f t="shared" si="7"/>
        <v>74,498</v>
      </c>
      <c r="AD24" s="1" t="str">
        <f t="shared" si="8"/>
        <v>488,373</v>
      </c>
    </row>
    <row r="25" spans="1:30">
      <c r="A25" s="26">
        <f t="shared" si="9"/>
        <v>23</v>
      </c>
      <c r="B25" s="1" t="s">
        <v>34</v>
      </c>
      <c r="C25" s="19">
        <v>45565</v>
      </c>
      <c r="D25" s="1" t="s">
        <v>77</v>
      </c>
      <c r="E25" s="1" t="s">
        <v>80</v>
      </c>
      <c r="F25" s="1" t="s">
        <v>41</v>
      </c>
      <c r="G25" s="1">
        <f>IF(ISBLANK(F25),0,VLOOKUP(F25,Sheet2!$U$7:$V$14,2,0))</f>
        <v>998211</v>
      </c>
      <c r="H25" s="1" t="s">
        <v>42</v>
      </c>
      <c r="I25" s="5">
        <v>0.09</v>
      </c>
      <c r="J25" s="5">
        <f t="shared" si="1"/>
        <v>0.09</v>
      </c>
      <c r="K25" s="20">
        <v>0.18</v>
      </c>
      <c r="L25" s="16">
        <v>400000</v>
      </c>
      <c r="M25" s="13">
        <f t="shared" si="2"/>
        <v>72000</v>
      </c>
      <c r="N25" s="14">
        <f t="shared" si="3"/>
        <v>0</v>
      </c>
      <c r="O25" s="13">
        <f t="shared" si="4"/>
        <v>0</v>
      </c>
      <c r="P25" s="15">
        <f t="shared" si="13"/>
        <v>72000</v>
      </c>
      <c r="Q25" s="2">
        <f t="shared" si="5"/>
        <v>400000</v>
      </c>
      <c r="R25" s="2">
        <f>ROUND(M25,2)+1</f>
        <v>72001</v>
      </c>
      <c r="S25" s="2">
        <f t="shared" si="5"/>
        <v>0</v>
      </c>
      <c r="T25" s="2">
        <f t="shared" si="5"/>
        <v>0</v>
      </c>
      <c r="U25" s="2">
        <f t="shared" si="5"/>
        <v>72000</v>
      </c>
      <c r="V25" s="1"/>
      <c r="W25" s="13">
        <f t="shared" si="6"/>
        <v>472001</v>
      </c>
      <c r="X25" s="1"/>
      <c r="Y25" s="1" t="str">
        <f t="shared" si="7"/>
        <v>400,000</v>
      </c>
      <c r="Z25" s="1" t="str">
        <f t="shared" si="7"/>
        <v>72,001</v>
      </c>
      <c r="AA25" s="1" t="str">
        <f t="shared" si="7"/>
        <v/>
      </c>
      <c r="AB25" s="1" t="str">
        <f t="shared" si="7"/>
        <v/>
      </c>
      <c r="AC25" s="1" t="str">
        <f t="shared" si="7"/>
        <v>72,000</v>
      </c>
      <c r="AD25" s="1" t="str">
        <f t="shared" si="8"/>
        <v>472,001</v>
      </c>
    </row>
    <row r="26" spans="1:30">
      <c r="A26" s="26">
        <f t="shared" si="9"/>
        <v>24</v>
      </c>
      <c r="B26" s="1" t="s">
        <v>34</v>
      </c>
      <c r="C26" s="19">
        <v>45565</v>
      </c>
      <c r="D26" s="1" t="s">
        <v>77</v>
      </c>
      <c r="E26" s="1" t="s">
        <v>80</v>
      </c>
      <c r="F26" s="1" t="s">
        <v>41</v>
      </c>
      <c r="G26" s="1">
        <f>IF(ISBLANK(F26),0,VLOOKUP(F26,Sheet2!$U$7:$V$14,2,0))</f>
        <v>998211</v>
      </c>
      <c r="H26" s="1" t="s">
        <v>42</v>
      </c>
      <c r="I26" s="5">
        <v>0.09</v>
      </c>
      <c r="J26" s="5">
        <f t="shared" si="1"/>
        <v>0.09</v>
      </c>
      <c r="K26" s="20">
        <v>0.18</v>
      </c>
      <c r="L26" s="16">
        <v>585500</v>
      </c>
      <c r="M26" s="13">
        <f t="shared" si="2"/>
        <v>105390</v>
      </c>
      <c r="N26" s="14">
        <f t="shared" si="3"/>
        <v>0</v>
      </c>
      <c r="O26" s="13">
        <f t="shared" si="4"/>
        <v>0</v>
      </c>
      <c r="P26" s="15">
        <f t="shared" si="13"/>
        <v>105390</v>
      </c>
      <c r="Q26" s="2">
        <f t="shared" si="5"/>
        <v>585500</v>
      </c>
      <c r="R26" s="2">
        <f t="shared" si="5"/>
        <v>105390</v>
      </c>
      <c r="S26" s="2">
        <f t="shared" si="5"/>
        <v>0</v>
      </c>
      <c r="T26" s="2">
        <f t="shared" si="5"/>
        <v>0</v>
      </c>
      <c r="U26" s="2">
        <f t="shared" si="5"/>
        <v>105390</v>
      </c>
      <c r="V26" s="1"/>
      <c r="W26" s="13">
        <f t="shared" si="6"/>
        <v>690890</v>
      </c>
      <c r="X26" s="1"/>
      <c r="Y26" s="1" t="str">
        <f t="shared" si="7"/>
        <v>585,500</v>
      </c>
      <c r="Z26" s="1" t="str">
        <f t="shared" si="7"/>
        <v>105,390</v>
      </c>
      <c r="AA26" s="1" t="str">
        <f t="shared" si="7"/>
        <v/>
      </c>
      <c r="AB26" s="1" t="str">
        <f t="shared" si="7"/>
        <v/>
      </c>
      <c r="AC26" s="1" t="str">
        <f t="shared" si="7"/>
        <v>105,390</v>
      </c>
      <c r="AD26" s="1" t="str">
        <f t="shared" si="8"/>
        <v>690,890</v>
      </c>
    </row>
    <row r="27" spans="1:30">
      <c r="A27" s="26">
        <f t="shared" si="9"/>
        <v>25</v>
      </c>
      <c r="B27" s="1" t="s">
        <v>34</v>
      </c>
      <c r="C27" s="19">
        <v>45565</v>
      </c>
      <c r="D27" s="1" t="s">
        <v>77</v>
      </c>
      <c r="E27" s="1" t="s">
        <v>80</v>
      </c>
      <c r="F27" s="1" t="s">
        <v>41</v>
      </c>
      <c r="G27" s="1">
        <f>IF(ISBLANK(F27),0,VLOOKUP(F27,Sheet2!$U$7:$V$14,2,0))</f>
        <v>998211</v>
      </c>
      <c r="H27" s="1" t="s">
        <v>42</v>
      </c>
      <c r="I27" s="5">
        <v>0.09</v>
      </c>
      <c r="J27" s="5">
        <f t="shared" si="1"/>
        <v>0.09</v>
      </c>
      <c r="K27" s="20">
        <v>0.18</v>
      </c>
      <c r="L27" s="16">
        <v>375000</v>
      </c>
      <c r="M27" s="13">
        <f t="shared" si="2"/>
        <v>67500</v>
      </c>
      <c r="N27" s="14">
        <f t="shared" si="3"/>
        <v>0</v>
      </c>
      <c r="O27" s="13">
        <f t="shared" si="4"/>
        <v>0</v>
      </c>
      <c r="P27" s="15">
        <f t="shared" si="13"/>
        <v>67500</v>
      </c>
      <c r="Q27" s="2">
        <f t="shared" si="5"/>
        <v>375000</v>
      </c>
      <c r="R27" s="2">
        <f t="shared" si="5"/>
        <v>67500</v>
      </c>
      <c r="S27" s="2">
        <f t="shared" si="5"/>
        <v>0</v>
      </c>
      <c r="T27" s="2">
        <f t="shared" si="5"/>
        <v>0</v>
      </c>
      <c r="U27" s="2">
        <f t="shared" si="5"/>
        <v>67500</v>
      </c>
      <c r="V27" s="1"/>
      <c r="W27" s="13">
        <f t="shared" si="6"/>
        <v>442500</v>
      </c>
      <c r="X27" s="1"/>
      <c r="Y27" s="1" t="str">
        <f t="shared" si="7"/>
        <v>375,000</v>
      </c>
      <c r="Z27" s="1" t="str">
        <f t="shared" si="7"/>
        <v>67,500</v>
      </c>
      <c r="AA27" s="1" t="str">
        <f t="shared" si="7"/>
        <v/>
      </c>
      <c r="AB27" s="1" t="str">
        <f t="shared" si="7"/>
        <v/>
      </c>
      <c r="AC27" s="1" t="str">
        <f t="shared" si="7"/>
        <v>67,500</v>
      </c>
      <c r="AD27" s="1" t="str">
        <f t="shared" si="8"/>
        <v>442,500</v>
      </c>
    </row>
    <row r="28" spans="1:30">
      <c r="A28" s="26">
        <f t="shared" si="9"/>
        <v>26</v>
      </c>
      <c r="B28" s="1" t="s">
        <v>34</v>
      </c>
      <c r="C28" s="19">
        <v>45565</v>
      </c>
      <c r="D28" s="1" t="s">
        <v>77</v>
      </c>
      <c r="E28" s="1" t="s">
        <v>80</v>
      </c>
      <c r="F28" s="1" t="s">
        <v>41</v>
      </c>
      <c r="G28" s="1">
        <f>IF(ISBLANK(F28),0,VLOOKUP(F28,Sheet2!$U$7:$V$14,2,0))</f>
        <v>998211</v>
      </c>
      <c r="H28" s="1" t="s">
        <v>42</v>
      </c>
      <c r="I28" s="5">
        <v>0.09</v>
      </c>
      <c r="J28" s="5">
        <f t="shared" si="1"/>
        <v>0.09</v>
      </c>
      <c r="K28" s="20">
        <v>0.18</v>
      </c>
      <c r="L28" s="16">
        <v>116750</v>
      </c>
      <c r="M28" s="13">
        <f t="shared" si="2"/>
        <v>21015</v>
      </c>
      <c r="N28" s="14">
        <f t="shared" si="3"/>
        <v>0</v>
      </c>
      <c r="O28" s="13">
        <f t="shared" si="4"/>
        <v>0</v>
      </c>
      <c r="P28" s="15">
        <f t="shared" si="13"/>
        <v>21015</v>
      </c>
      <c r="Q28" s="2">
        <f t="shared" si="5"/>
        <v>116750</v>
      </c>
      <c r="R28" s="2">
        <f t="shared" si="5"/>
        <v>21015</v>
      </c>
      <c r="S28" s="2">
        <f t="shared" si="5"/>
        <v>0</v>
      </c>
      <c r="T28" s="2">
        <f t="shared" si="5"/>
        <v>0</v>
      </c>
      <c r="U28" s="2">
        <f t="shared" si="5"/>
        <v>21015</v>
      </c>
      <c r="V28" s="1"/>
      <c r="W28" s="13">
        <f t="shared" si="6"/>
        <v>137765</v>
      </c>
      <c r="X28" s="1"/>
      <c r="Y28" s="1" t="str">
        <f t="shared" si="7"/>
        <v>116,750</v>
      </c>
      <c r="Z28" s="1" t="str">
        <f t="shared" si="7"/>
        <v>21,015</v>
      </c>
      <c r="AA28" s="1" t="str">
        <f t="shared" si="7"/>
        <v/>
      </c>
      <c r="AB28" s="1" t="str">
        <f t="shared" si="7"/>
        <v/>
      </c>
      <c r="AC28" s="1" t="str">
        <f t="shared" si="7"/>
        <v>21,015</v>
      </c>
      <c r="AD28" s="1" t="str">
        <f t="shared" si="8"/>
        <v>137,765</v>
      </c>
    </row>
    <row r="29" spans="1:30">
      <c r="A29" s="26">
        <f t="shared" si="9"/>
        <v>27</v>
      </c>
      <c r="B29" s="1" t="s">
        <v>34</v>
      </c>
      <c r="C29" s="19">
        <v>45565</v>
      </c>
      <c r="D29" s="1" t="s">
        <v>77</v>
      </c>
      <c r="E29" s="1" t="s">
        <v>80</v>
      </c>
      <c r="F29" s="1" t="s">
        <v>41</v>
      </c>
      <c r="G29" s="1">
        <f>IF(ISBLANK(F29),0,VLOOKUP(F29,Sheet2!$U$7:$V$14,2,0))</f>
        <v>998211</v>
      </c>
      <c r="H29" s="1" t="s">
        <v>42</v>
      </c>
      <c r="I29" s="5">
        <v>0.09</v>
      </c>
      <c r="J29" s="5">
        <f t="shared" si="1"/>
        <v>0.09</v>
      </c>
      <c r="K29" s="20">
        <v>0.18</v>
      </c>
      <c r="L29" s="17">
        <v>400000</v>
      </c>
      <c r="M29" s="13">
        <f t="shared" si="2"/>
        <v>72000</v>
      </c>
      <c r="N29" s="14">
        <f t="shared" si="3"/>
        <v>0</v>
      </c>
      <c r="O29" s="13">
        <f t="shared" si="4"/>
        <v>0</v>
      </c>
      <c r="P29" s="15">
        <f t="shared" si="13"/>
        <v>72000</v>
      </c>
      <c r="Q29" s="2">
        <f t="shared" si="5"/>
        <v>400000</v>
      </c>
      <c r="R29" s="2">
        <f t="shared" si="5"/>
        <v>72000</v>
      </c>
      <c r="S29" s="2">
        <f t="shared" si="5"/>
        <v>0</v>
      </c>
      <c r="T29" s="2">
        <f t="shared" si="5"/>
        <v>0</v>
      </c>
      <c r="U29" s="2">
        <f t="shared" si="5"/>
        <v>72000</v>
      </c>
      <c r="V29" s="1"/>
      <c r="W29" s="13">
        <f t="shared" si="6"/>
        <v>472000</v>
      </c>
      <c r="X29" s="1"/>
      <c r="Y29" s="1" t="str">
        <f t="shared" si="7"/>
        <v>400,000</v>
      </c>
      <c r="Z29" s="1" t="str">
        <f t="shared" si="7"/>
        <v>72,000</v>
      </c>
      <c r="AA29" s="1" t="str">
        <f t="shared" si="7"/>
        <v/>
      </c>
      <c r="AB29" s="1" t="str">
        <f t="shared" si="7"/>
        <v/>
      </c>
      <c r="AC29" s="1" t="str">
        <f t="shared" si="7"/>
        <v>72,000</v>
      </c>
      <c r="AD29" s="1" t="str">
        <f t="shared" si="8"/>
        <v>472,000</v>
      </c>
    </row>
    <row r="30" spans="1:30">
      <c r="A30" s="26">
        <f t="shared" si="9"/>
        <v>28</v>
      </c>
      <c r="B30" s="1" t="s">
        <v>34</v>
      </c>
      <c r="C30" s="19">
        <v>45565</v>
      </c>
      <c r="D30" s="1" t="s">
        <v>77</v>
      </c>
      <c r="E30" s="1" t="s">
        <v>80</v>
      </c>
      <c r="F30" s="1" t="s">
        <v>41</v>
      </c>
      <c r="G30" s="1">
        <f>IF(ISBLANK(F30),0,VLOOKUP(F30,Sheet2!$U$7:$V$14,2,0))</f>
        <v>998211</v>
      </c>
      <c r="H30" s="1" t="s">
        <v>42</v>
      </c>
      <c r="I30" s="5">
        <v>0.09</v>
      </c>
      <c r="J30" s="5">
        <f t="shared" si="1"/>
        <v>0.09</v>
      </c>
      <c r="K30" s="20">
        <v>0.18</v>
      </c>
      <c r="L30" s="2">
        <v>500000</v>
      </c>
      <c r="M30" s="13">
        <f t="shared" si="2"/>
        <v>90000</v>
      </c>
      <c r="N30" s="9">
        <f t="shared" si="3"/>
        <v>0</v>
      </c>
      <c r="O30" s="2">
        <f t="shared" si="4"/>
        <v>0</v>
      </c>
      <c r="P30" s="8">
        <f t="shared" si="13"/>
        <v>90000</v>
      </c>
      <c r="Q30" s="2">
        <f t="shared" si="5"/>
        <v>500000</v>
      </c>
      <c r="R30" s="2">
        <f t="shared" si="5"/>
        <v>90000</v>
      </c>
      <c r="S30" s="2">
        <f t="shared" si="5"/>
        <v>0</v>
      </c>
      <c r="T30" s="2">
        <f t="shared" si="5"/>
        <v>0</v>
      </c>
      <c r="U30" s="2">
        <f t="shared" si="5"/>
        <v>90000</v>
      </c>
      <c r="V30" s="1"/>
      <c r="W30" s="13">
        <f t="shared" si="6"/>
        <v>590000</v>
      </c>
      <c r="X30" s="1"/>
      <c r="Y30" s="1" t="str">
        <f t="shared" si="7"/>
        <v>500,000</v>
      </c>
      <c r="Z30" s="1" t="str">
        <f t="shared" si="7"/>
        <v>90,000</v>
      </c>
      <c r="AA30" s="1" t="str">
        <f t="shared" si="7"/>
        <v/>
      </c>
      <c r="AB30" s="1" t="str">
        <f t="shared" si="7"/>
        <v/>
      </c>
      <c r="AC30" s="1" t="str">
        <f t="shared" si="7"/>
        <v>90,000</v>
      </c>
      <c r="AD30" s="1" t="str">
        <f t="shared" si="8"/>
        <v>590,000</v>
      </c>
    </row>
    <row r="31" spans="1:30">
      <c r="A31" s="26">
        <f t="shared" si="9"/>
        <v>29</v>
      </c>
      <c r="B31" s="1" t="s">
        <v>71</v>
      </c>
      <c r="C31" s="19">
        <v>45492</v>
      </c>
      <c r="D31" s="1" t="s">
        <v>63</v>
      </c>
      <c r="E31" s="1" t="s">
        <v>74</v>
      </c>
      <c r="F31" s="1" t="s">
        <v>41</v>
      </c>
      <c r="G31" s="1">
        <f>IF(ISBLANK(F31),0,VLOOKUP(F31,Sheet2!$U$7:$V$14,2,0))</f>
        <v>998211</v>
      </c>
      <c r="H31" s="1" t="s">
        <v>25</v>
      </c>
      <c r="I31" s="5">
        <v>0.09</v>
      </c>
      <c r="J31" s="5">
        <f t="shared" si="1"/>
        <v>0.09</v>
      </c>
      <c r="K31" s="20">
        <v>0.18</v>
      </c>
      <c r="L31" s="16">
        <v>70125</v>
      </c>
      <c r="M31" s="13">
        <f t="shared" si="2"/>
        <v>0</v>
      </c>
      <c r="N31" s="14">
        <f t="shared" si="3"/>
        <v>6311.25</v>
      </c>
      <c r="O31" s="13">
        <f t="shared" si="4"/>
        <v>6311.25</v>
      </c>
      <c r="P31" s="15">
        <f t="shared" si="13"/>
        <v>12622.5</v>
      </c>
      <c r="Q31" s="2">
        <f t="shared" si="5"/>
        <v>70125</v>
      </c>
      <c r="R31" s="2">
        <f t="shared" si="5"/>
        <v>0</v>
      </c>
      <c r="S31" s="2">
        <f t="shared" si="5"/>
        <v>6311.25</v>
      </c>
      <c r="T31" s="2">
        <f t="shared" si="5"/>
        <v>6311.25</v>
      </c>
      <c r="U31" s="2">
        <f t="shared" si="5"/>
        <v>12622.5</v>
      </c>
      <c r="V31" s="1"/>
      <c r="W31" s="13">
        <f t="shared" si="6"/>
        <v>82747.5</v>
      </c>
      <c r="X31" s="1"/>
      <c r="Y31" s="1" t="str">
        <f t="shared" si="7"/>
        <v>70,125</v>
      </c>
      <c r="Z31" s="1" t="str">
        <f t="shared" si="7"/>
        <v/>
      </c>
      <c r="AA31" s="1" t="str">
        <f t="shared" si="7"/>
        <v>6,311</v>
      </c>
      <c r="AB31" s="1" t="str">
        <f t="shared" si="7"/>
        <v>6,311</v>
      </c>
      <c r="AC31" s="1" t="str">
        <f t="shared" si="7"/>
        <v>12,623</v>
      </c>
      <c r="AD31" s="1" t="str">
        <f t="shared" si="8"/>
        <v>82,748</v>
      </c>
    </row>
    <row r="34" spans="12:12">
      <c r="L34" s="33">
        <v>140000</v>
      </c>
    </row>
    <row r="36" spans="12:12">
      <c r="L36" s="32">
        <f>L22-L34</f>
        <v>1260000</v>
      </c>
    </row>
  </sheetData>
  <autoFilter ref="A2:AD30" xr:uid="{D93A1574-4804-4A85-A71F-ABB09624E0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487D-A50A-4E2F-86E9-C1ED11C8EB9E}">
  <sheetPr codeName="Sheet2"/>
  <dimension ref="A4:V40"/>
  <sheetViews>
    <sheetView topLeftCell="K1" workbookViewId="0">
      <selection activeCell="V14" sqref="V14"/>
    </sheetView>
  </sheetViews>
  <sheetFormatPr defaultRowHeight="14.45"/>
  <cols>
    <col min="1" max="1" width="44.5703125" bestFit="1" customWidth="1"/>
    <col min="2" max="2" width="18.28515625" bestFit="1" customWidth="1"/>
    <col min="3" max="3" width="12" bestFit="1" customWidth="1"/>
    <col min="15" max="15" width="38" bestFit="1" customWidth="1"/>
    <col min="21" max="21" width="20.5703125" bestFit="1" customWidth="1"/>
  </cols>
  <sheetData>
    <row r="4" spans="1:22">
      <c r="A4" s="6" t="s">
        <v>1</v>
      </c>
      <c r="B4" t="s">
        <v>86</v>
      </c>
      <c r="C4" t="s">
        <v>87</v>
      </c>
      <c r="D4" t="s">
        <v>88</v>
      </c>
      <c r="N4" s="7" t="s">
        <v>89</v>
      </c>
      <c r="O4" s="7" t="s">
        <v>90</v>
      </c>
      <c r="P4">
        <v>27</v>
      </c>
    </row>
    <row r="5" spans="1:22">
      <c r="A5" t="s">
        <v>91</v>
      </c>
      <c r="B5" t="s">
        <v>92</v>
      </c>
      <c r="C5" t="s">
        <v>93</v>
      </c>
      <c r="D5" t="s">
        <v>94</v>
      </c>
      <c r="N5" s="1">
        <v>1</v>
      </c>
      <c r="O5" s="1" t="s">
        <v>95</v>
      </c>
      <c r="P5" t="str">
        <f>VLOOKUP(P4,N5:O40,2,0)</f>
        <v>Maharashtra</v>
      </c>
    </row>
    <row r="6" spans="1:22">
      <c r="A6" t="s">
        <v>96</v>
      </c>
      <c r="B6" t="s">
        <v>97</v>
      </c>
      <c r="C6" t="s">
        <v>98</v>
      </c>
      <c r="N6" s="1">
        <v>2</v>
      </c>
      <c r="O6" s="1" t="s">
        <v>99</v>
      </c>
      <c r="U6" s="6" t="s">
        <v>100</v>
      </c>
      <c r="V6" t="s">
        <v>101</v>
      </c>
    </row>
    <row r="7" spans="1:22">
      <c r="A7" t="s">
        <v>102</v>
      </c>
      <c r="B7" t="s">
        <v>103</v>
      </c>
      <c r="C7" t="s">
        <v>104</v>
      </c>
      <c r="N7" s="1">
        <v>3</v>
      </c>
      <c r="O7" s="1" t="s">
        <v>105</v>
      </c>
      <c r="U7" t="s">
        <v>106</v>
      </c>
      <c r="V7">
        <v>996791</v>
      </c>
    </row>
    <row r="8" spans="1:22">
      <c r="A8" t="s">
        <v>107</v>
      </c>
      <c r="B8" t="s">
        <v>108</v>
      </c>
      <c r="C8" t="s">
        <v>109</v>
      </c>
      <c r="N8" s="1">
        <v>4</v>
      </c>
      <c r="O8" s="1" t="s">
        <v>110</v>
      </c>
      <c r="U8" t="s">
        <v>41</v>
      </c>
      <c r="V8">
        <v>998211</v>
      </c>
    </row>
    <row r="9" spans="1:22">
      <c r="A9" t="s">
        <v>111</v>
      </c>
      <c r="B9" t="s">
        <v>112</v>
      </c>
      <c r="C9" t="s">
        <v>113</v>
      </c>
      <c r="N9" s="1">
        <v>5</v>
      </c>
      <c r="O9" s="1" t="s">
        <v>114</v>
      </c>
      <c r="U9" t="s">
        <v>84</v>
      </c>
      <c r="V9">
        <v>996412</v>
      </c>
    </row>
    <row r="10" spans="1:22">
      <c r="A10" t="s">
        <v>115</v>
      </c>
      <c r="B10" t="s">
        <v>116</v>
      </c>
      <c r="C10" t="s">
        <v>117</v>
      </c>
      <c r="N10" s="1">
        <v>6</v>
      </c>
      <c r="O10" s="1" t="s">
        <v>25</v>
      </c>
      <c r="U10" t="s">
        <v>118</v>
      </c>
      <c r="V10">
        <v>998311</v>
      </c>
    </row>
    <row r="11" spans="1:22">
      <c r="A11" t="s">
        <v>119</v>
      </c>
      <c r="B11" t="s">
        <v>120</v>
      </c>
      <c r="C11" t="s">
        <v>121</v>
      </c>
      <c r="N11" s="1">
        <v>7</v>
      </c>
      <c r="O11" s="1" t="s">
        <v>42</v>
      </c>
      <c r="U11" t="s">
        <v>122</v>
      </c>
      <c r="V11">
        <v>998529</v>
      </c>
    </row>
    <row r="12" spans="1:22">
      <c r="A12" t="s">
        <v>123</v>
      </c>
      <c r="B12" t="s">
        <v>124</v>
      </c>
      <c r="C12" t="s">
        <v>125</v>
      </c>
      <c r="N12" s="1">
        <v>8</v>
      </c>
      <c r="O12" s="1" t="s">
        <v>126</v>
      </c>
      <c r="U12" t="s">
        <v>127</v>
      </c>
      <c r="V12">
        <v>996311</v>
      </c>
    </row>
    <row r="13" spans="1:22">
      <c r="A13" t="s">
        <v>128</v>
      </c>
      <c r="B13" t="s">
        <v>129</v>
      </c>
      <c r="C13" t="s">
        <v>130</v>
      </c>
      <c r="N13" s="1">
        <v>9</v>
      </c>
      <c r="O13" s="1" t="s">
        <v>131</v>
      </c>
      <c r="U13" t="s">
        <v>47</v>
      </c>
      <c r="V13">
        <v>997331</v>
      </c>
    </row>
    <row r="14" spans="1:22">
      <c r="A14" t="s">
        <v>132</v>
      </c>
      <c r="B14" t="s">
        <v>133</v>
      </c>
      <c r="C14" t="s">
        <v>134</v>
      </c>
      <c r="N14" s="1">
        <v>10</v>
      </c>
      <c r="O14" s="1" t="s">
        <v>135</v>
      </c>
      <c r="U14" t="s">
        <v>61</v>
      </c>
      <c r="V14">
        <v>999799</v>
      </c>
    </row>
    <row r="15" spans="1:22">
      <c r="A15" t="s">
        <v>136</v>
      </c>
      <c r="B15" t="s">
        <v>137</v>
      </c>
      <c r="C15" t="s">
        <v>138</v>
      </c>
      <c r="N15" s="1">
        <v>11</v>
      </c>
      <c r="O15" s="1" t="s">
        <v>139</v>
      </c>
    </row>
    <row r="16" spans="1:22">
      <c r="A16" t="s">
        <v>140</v>
      </c>
      <c r="B16" t="s">
        <v>141</v>
      </c>
      <c r="C16" t="s">
        <v>142</v>
      </c>
      <c r="N16" s="1">
        <v>12</v>
      </c>
      <c r="O16" s="1" t="s">
        <v>143</v>
      </c>
    </row>
    <row r="17" spans="1:15">
      <c r="A17" t="s">
        <v>144</v>
      </c>
      <c r="B17" t="s">
        <v>145</v>
      </c>
      <c r="C17" t="s">
        <v>146</v>
      </c>
      <c r="N17" s="1">
        <v>13</v>
      </c>
      <c r="O17" s="1" t="s">
        <v>147</v>
      </c>
    </row>
    <row r="18" spans="1:15">
      <c r="A18" t="s">
        <v>148</v>
      </c>
      <c r="B18" t="s">
        <v>149</v>
      </c>
      <c r="C18" t="s">
        <v>150</v>
      </c>
      <c r="N18" s="1">
        <v>14</v>
      </c>
      <c r="O18" s="1" t="s">
        <v>151</v>
      </c>
    </row>
    <row r="19" spans="1:15">
      <c r="A19" t="s">
        <v>152</v>
      </c>
      <c r="B19" t="s">
        <v>153</v>
      </c>
      <c r="C19" t="s">
        <v>154</v>
      </c>
      <c r="N19" s="1">
        <v>15</v>
      </c>
      <c r="O19" s="1" t="s">
        <v>155</v>
      </c>
    </row>
    <row r="20" spans="1:15">
      <c r="A20" t="s">
        <v>156</v>
      </c>
      <c r="B20" t="s">
        <v>157</v>
      </c>
      <c r="C20" t="s">
        <v>158</v>
      </c>
      <c r="N20" s="1">
        <v>16</v>
      </c>
      <c r="O20" s="1" t="s">
        <v>159</v>
      </c>
    </row>
    <row r="21" spans="1:15">
      <c r="N21" s="1">
        <v>17</v>
      </c>
      <c r="O21" s="1" t="s">
        <v>160</v>
      </c>
    </row>
    <row r="22" spans="1:15">
      <c r="N22" s="1">
        <v>18</v>
      </c>
      <c r="O22" s="1" t="s">
        <v>161</v>
      </c>
    </row>
    <row r="23" spans="1:15">
      <c r="N23" s="1">
        <v>19</v>
      </c>
      <c r="O23" s="1" t="s">
        <v>162</v>
      </c>
    </row>
    <row r="24" spans="1:15">
      <c r="N24" s="1">
        <v>20</v>
      </c>
      <c r="O24" s="1" t="s">
        <v>163</v>
      </c>
    </row>
    <row r="25" spans="1:15">
      <c r="N25" s="1">
        <v>21</v>
      </c>
      <c r="O25" s="1" t="s">
        <v>164</v>
      </c>
    </row>
    <row r="26" spans="1:15">
      <c r="N26" s="1">
        <v>22</v>
      </c>
      <c r="O26" s="1" t="s">
        <v>165</v>
      </c>
    </row>
    <row r="27" spans="1:15">
      <c r="N27" s="1">
        <v>23</v>
      </c>
      <c r="O27" s="1" t="s">
        <v>166</v>
      </c>
    </row>
    <row r="28" spans="1:15">
      <c r="N28" s="1">
        <v>24</v>
      </c>
      <c r="O28" s="1" t="s">
        <v>167</v>
      </c>
    </row>
    <row r="29" spans="1:15">
      <c r="N29" s="1">
        <v>26</v>
      </c>
      <c r="O29" s="1" t="s">
        <v>168</v>
      </c>
    </row>
    <row r="30" spans="1:15">
      <c r="N30" s="1">
        <v>27</v>
      </c>
      <c r="O30" s="1" t="s">
        <v>169</v>
      </c>
    </row>
    <row r="31" spans="1:15">
      <c r="N31" s="1">
        <v>29</v>
      </c>
      <c r="O31" s="1" t="s">
        <v>170</v>
      </c>
    </row>
    <row r="32" spans="1:15">
      <c r="N32" s="1">
        <v>30</v>
      </c>
      <c r="O32" s="1" t="s">
        <v>171</v>
      </c>
    </row>
    <row r="33" spans="14:15">
      <c r="N33" s="1">
        <v>31</v>
      </c>
      <c r="O33" s="1" t="s">
        <v>172</v>
      </c>
    </row>
    <row r="34" spans="14:15">
      <c r="N34" s="1">
        <v>32</v>
      </c>
      <c r="O34" s="1" t="s">
        <v>173</v>
      </c>
    </row>
    <row r="35" spans="14:15">
      <c r="N35" s="1">
        <v>33</v>
      </c>
      <c r="O35" s="1" t="s">
        <v>174</v>
      </c>
    </row>
    <row r="36" spans="14:15">
      <c r="N36" s="1">
        <v>34</v>
      </c>
      <c r="O36" s="1" t="s">
        <v>175</v>
      </c>
    </row>
    <row r="37" spans="14:15">
      <c r="N37" s="1">
        <v>35</v>
      </c>
      <c r="O37" s="1" t="s">
        <v>176</v>
      </c>
    </row>
    <row r="38" spans="14:15">
      <c r="N38" s="1">
        <v>36</v>
      </c>
      <c r="O38" s="1" t="s">
        <v>177</v>
      </c>
    </row>
    <row r="39" spans="14:15">
      <c r="N39" s="1">
        <v>37</v>
      </c>
      <c r="O39" s="1" t="s">
        <v>178</v>
      </c>
    </row>
    <row r="40" spans="14:15">
      <c r="N40" s="1">
        <v>38</v>
      </c>
      <c r="O40" s="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C7D0-96C0-48AF-9D30-86BFC97F3F0C}">
  <dimension ref="A1:P75"/>
  <sheetViews>
    <sheetView view="pageBreakPreview" zoomScale="51" zoomScaleNormal="100" workbookViewId="0">
      <selection activeCell="P7" sqref="P7"/>
    </sheetView>
  </sheetViews>
  <sheetFormatPr defaultRowHeight="14.45"/>
  <cols>
    <col min="1" max="1" width="27.28515625" bestFit="1" customWidth="1"/>
    <col min="2" max="2" width="10.42578125" bestFit="1" customWidth="1"/>
    <col min="3" max="3" width="13.5703125" bestFit="1" customWidth="1"/>
    <col min="4" max="4" width="25.28515625" customWidth="1"/>
    <col min="5" max="5" width="17.5703125" customWidth="1"/>
    <col min="6" max="6" width="7" bestFit="1" customWidth="1"/>
    <col min="7" max="7" width="11" customWidth="1"/>
    <col min="8" max="8" width="6.7109375" customWidth="1"/>
    <col min="9" max="9" width="8.7109375" customWidth="1"/>
    <col min="10" max="10" width="7" bestFit="1" customWidth="1"/>
    <col min="11" max="13" width="8.28515625" bestFit="1" customWidth="1"/>
    <col min="14" max="14" width="9.7109375" customWidth="1"/>
    <col min="15" max="15" width="8.28515625" bestFit="1" customWidth="1"/>
    <col min="16" max="16" width="8.42578125" bestFit="1" customWidth="1"/>
  </cols>
  <sheetData>
    <row r="1" spans="1:16" ht="72">
      <c r="A1" s="22" t="s">
        <v>1</v>
      </c>
      <c r="B1" s="22" t="s">
        <v>5</v>
      </c>
      <c r="C1" s="23" t="s">
        <v>6</v>
      </c>
      <c r="D1" s="23" t="s">
        <v>7</v>
      </c>
      <c r="E1" s="23" t="s">
        <v>9</v>
      </c>
      <c r="F1" s="23" t="s">
        <v>10</v>
      </c>
      <c r="G1" s="23" t="s">
        <v>11</v>
      </c>
      <c r="H1" s="23" t="s">
        <v>12</v>
      </c>
      <c r="I1" s="23" t="s">
        <v>13</v>
      </c>
      <c r="J1" s="23" t="s">
        <v>14</v>
      </c>
      <c r="K1" s="24" t="s">
        <v>28</v>
      </c>
      <c r="L1" s="24" t="s">
        <v>29</v>
      </c>
      <c r="M1" s="24" t="s">
        <v>30</v>
      </c>
      <c r="N1" s="24" t="s">
        <v>31</v>
      </c>
      <c r="O1" s="24" t="s">
        <v>32</v>
      </c>
      <c r="P1" s="24" t="s">
        <v>33</v>
      </c>
    </row>
    <row r="2" spans="1:16">
      <c r="A2" s="1" t="s">
        <v>156</v>
      </c>
      <c r="B2" s="19">
        <v>44651</v>
      </c>
      <c r="C2" s="1" t="s">
        <v>180</v>
      </c>
      <c r="D2" s="1" t="s">
        <v>181</v>
      </c>
      <c r="E2" s="1" t="s">
        <v>41</v>
      </c>
      <c r="F2" s="1">
        <v>998211</v>
      </c>
      <c r="G2" s="1" t="s">
        <v>169</v>
      </c>
      <c r="H2" s="5">
        <v>0.09</v>
      </c>
      <c r="I2" s="5">
        <v>0.09</v>
      </c>
      <c r="J2" s="20">
        <v>0.18</v>
      </c>
      <c r="K2" s="1" t="s">
        <v>182</v>
      </c>
      <c r="L2" s="1" t="s">
        <v>183</v>
      </c>
      <c r="M2" s="1" t="s">
        <v>184</v>
      </c>
      <c r="N2" s="1" t="s">
        <v>184</v>
      </c>
      <c r="O2" s="1" t="s">
        <v>185</v>
      </c>
      <c r="P2" s="1" t="s">
        <v>186</v>
      </c>
    </row>
    <row r="3" spans="1:16">
      <c r="A3" s="1" t="s">
        <v>156</v>
      </c>
      <c r="B3" s="19">
        <v>44658</v>
      </c>
      <c r="C3" s="1" t="s">
        <v>187</v>
      </c>
      <c r="D3" s="1" t="s">
        <v>188</v>
      </c>
      <c r="E3" s="1" t="s">
        <v>41</v>
      </c>
      <c r="F3" s="1">
        <v>998211</v>
      </c>
      <c r="G3" s="1" t="s">
        <v>169</v>
      </c>
      <c r="H3" s="5">
        <v>0.09</v>
      </c>
      <c r="I3" s="5">
        <v>0.09</v>
      </c>
      <c r="J3" s="20">
        <v>0.18</v>
      </c>
      <c r="K3" s="1" t="s">
        <v>189</v>
      </c>
      <c r="L3" s="1" t="s">
        <v>183</v>
      </c>
      <c r="M3" s="1" t="s">
        <v>190</v>
      </c>
      <c r="N3" s="1" t="s">
        <v>190</v>
      </c>
      <c r="O3" s="1" t="s">
        <v>191</v>
      </c>
      <c r="P3" s="1" t="s">
        <v>192</v>
      </c>
    </row>
    <row r="4" spans="1:16">
      <c r="A4" s="1" t="s">
        <v>156</v>
      </c>
      <c r="B4" s="19">
        <v>44658</v>
      </c>
      <c r="C4" s="1" t="s">
        <v>193</v>
      </c>
      <c r="D4" s="1" t="s">
        <v>188</v>
      </c>
      <c r="E4" s="1" t="s">
        <v>41</v>
      </c>
      <c r="F4" s="1">
        <v>998211</v>
      </c>
      <c r="G4" s="1" t="s">
        <v>169</v>
      </c>
      <c r="H4" s="5">
        <v>0.09</v>
      </c>
      <c r="I4" s="5">
        <v>0.09</v>
      </c>
      <c r="J4" s="20">
        <v>0.18</v>
      </c>
      <c r="K4" s="1" t="s">
        <v>194</v>
      </c>
      <c r="L4" s="1" t="s">
        <v>183</v>
      </c>
      <c r="M4" s="1" t="s">
        <v>195</v>
      </c>
      <c r="N4" s="1" t="s">
        <v>195</v>
      </c>
      <c r="O4" s="1" t="s">
        <v>196</v>
      </c>
      <c r="P4" s="1" t="s">
        <v>197</v>
      </c>
    </row>
    <row r="5" spans="1:16">
      <c r="A5" s="1" t="s">
        <v>156</v>
      </c>
      <c r="B5" s="19">
        <v>44659</v>
      </c>
      <c r="C5" s="1" t="s">
        <v>198</v>
      </c>
      <c r="D5" s="1" t="s">
        <v>181</v>
      </c>
      <c r="E5" s="1" t="s">
        <v>41</v>
      </c>
      <c r="F5" s="1">
        <v>998211</v>
      </c>
      <c r="G5" s="1" t="s">
        <v>169</v>
      </c>
      <c r="H5" s="5">
        <v>0.09</v>
      </c>
      <c r="I5" s="5">
        <v>0.09</v>
      </c>
      <c r="J5" s="20">
        <v>0.18</v>
      </c>
      <c r="K5" s="1" t="s">
        <v>199</v>
      </c>
      <c r="L5" s="1" t="s">
        <v>183</v>
      </c>
      <c r="M5" s="1" t="s">
        <v>200</v>
      </c>
      <c r="N5" s="1" t="s">
        <v>200</v>
      </c>
      <c r="O5" s="1" t="s">
        <v>201</v>
      </c>
      <c r="P5" s="1" t="s">
        <v>202</v>
      </c>
    </row>
    <row r="6" spans="1:16">
      <c r="A6" s="1" t="s">
        <v>156</v>
      </c>
      <c r="B6" s="19">
        <v>44678</v>
      </c>
      <c r="C6" s="1" t="s">
        <v>203</v>
      </c>
      <c r="D6" s="1" t="s">
        <v>188</v>
      </c>
      <c r="E6" s="1" t="s">
        <v>41</v>
      </c>
      <c r="F6" s="1">
        <v>998211</v>
      </c>
      <c r="G6" s="1" t="s">
        <v>169</v>
      </c>
      <c r="H6" s="5">
        <v>0.09</v>
      </c>
      <c r="I6" s="5">
        <v>0.09</v>
      </c>
      <c r="J6" s="20">
        <v>0.18</v>
      </c>
      <c r="K6" s="1" t="s">
        <v>204</v>
      </c>
      <c r="L6" s="1" t="s">
        <v>183</v>
      </c>
      <c r="M6" s="1" t="s">
        <v>205</v>
      </c>
      <c r="N6" s="1" t="s">
        <v>205</v>
      </c>
      <c r="O6" s="1" t="s">
        <v>206</v>
      </c>
      <c r="P6" s="1" t="s">
        <v>207</v>
      </c>
    </row>
    <row r="7" spans="1:16">
      <c r="A7" s="1" t="s">
        <v>156</v>
      </c>
      <c r="B7" s="19">
        <v>44741</v>
      </c>
      <c r="C7" s="1" t="s">
        <v>208</v>
      </c>
      <c r="D7" s="1" t="s">
        <v>188</v>
      </c>
      <c r="E7" s="1" t="s">
        <v>41</v>
      </c>
      <c r="F7" s="1">
        <v>998211</v>
      </c>
      <c r="G7" s="1" t="s">
        <v>169</v>
      </c>
      <c r="H7" s="5">
        <v>0.09</v>
      </c>
      <c r="I7" s="5">
        <v>0.09</v>
      </c>
      <c r="J7" s="20">
        <v>0.18</v>
      </c>
      <c r="K7" s="1" t="s">
        <v>209</v>
      </c>
      <c r="L7" s="1" t="s">
        <v>183</v>
      </c>
      <c r="M7" s="1" t="s">
        <v>210</v>
      </c>
      <c r="N7" s="1" t="s">
        <v>210</v>
      </c>
      <c r="O7" s="1" t="s">
        <v>211</v>
      </c>
      <c r="P7" s="1" t="s">
        <v>212</v>
      </c>
    </row>
    <row r="8" spans="1:16">
      <c r="A8" s="1" t="s">
        <v>156</v>
      </c>
      <c r="B8" s="19">
        <v>44741</v>
      </c>
      <c r="C8" s="1" t="s">
        <v>213</v>
      </c>
      <c r="D8" s="1" t="s">
        <v>188</v>
      </c>
      <c r="E8" s="1" t="s">
        <v>41</v>
      </c>
      <c r="F8" s="1">
        <v>998211</v>
      </c>
      <c r="G8" s="1" t="s">
        <v>169</v>
      </c>
      <c r="H8" s="5">
        <v>0.09</v>
      </c>
      <c r="I8" s="5">
        <v>0.09</v>
      </c>
      <c r="J8" s="20">
        <v>0.18</v>
      </c>
      <c r="K8" s="1" t="s">
        <v>214</v>
      </c>
      <c r="L8" s="1" t="s">
        <v>183</v>
      </c>
      <c r="M8" s="1" t="s">
        <v>215</v>
      </c>
      <c r="N8" s="1" t="s">
        <v>215</v>
      </c>
      <c r="O8" s="1" t="s">
        <v>216</v>
      </c>
      <c r="P8" s="1" t="s">
        <v>217</v>
      </c>
    </row>
    <row r="9" spans="1:16">
      <c r="A9" s="1" t="s">
        <v>156</v>
      </c>
      <c r="B9" s="19">
        <v>44741</v>
      </c>
      <c r="C9" s="1" t="s">
        <v>218</v>
      </c>
      <c r="D9" s="1" t="s">
        <v>188</v>
      </c>
      <c r="E9" s="1" t="s">
        <v>41</v>
      </c>
      <c r="F9" s="1">
        <v>998211</v>
      </c>
      <c r="G9" s="1" t="s">
        <v>169</v>
      </c>
      <c r="H9" s="5">
        <v>0.09</v>
      </c>
      <c r="I9" s="5">
        <v>0.09</v>
      </c>
      <c r="J9" s="20">
        <v>0.18</v>
      </c>
      <c r="K9" s="1" t="s">
        <v>219</v>
      </c>
      <c r="L9" s="1" t="s">
        <v>183</v>
      </c>
      <c r="M9" s="1" t="s">
        <v>220</v>
      </c>
      <c r="N9" s="1" t="s">
        <v>220</v>
      </c>
      <c r="O9" s="1" t="s">
        <v>221</v>
      </c>
      <c r="P9" s="1" t="s">
        <v>222</v>
      </c>
    </row>
    <row r="10" spans="1:16">
      <c r="A10" s="1" t="s">
        <v>156</v>
      </c>
      <c r="B10" s="19">
        <v>44659</v>
      </c>
      <c r="C10" s="1" t="s">
        <v>223</v>
      </c>
      <c r="D10" s="1" t="s">
        <v>181</v>
      </c>
      <c r="E10" s="1" t="s">
        <v>41</v>
      </c>
      <c r="F10" s="1">
        <v>998211</v>
      </c>
      <c r="G10" s="1" t="s">
        <v>169</v>
      </c>
      <c r="H10" s="5">
        <v>0.09</v>
      </c>
      <c r="I10" s="5">
        <v>0.09</v>
      </c>
      <c r="J10" s="20">
        <v>0.18</v>
      </c>
      <c r="K10" s="1" t="s">
        <v>224</v>
      </c>
      <c r="L10" s="1" t="s">
        <v>183</v>
      </c>
      <c r="M10" s="1" t="s">
        <v>225</v>
      </c>
      <c r="N10" s="1" t="s">
        <v>225</v>
      </c>
      <c r="O10" s="1" t="s">
        <v>226</v>
      </c>
      <c r="P10" s="1" t="s">
        <v>227</v>
      </c>
    </row>
    <row r="11" spans="1:16">
      <c r="A11" s="1" t="s">
        <v>156</v>
      </c>
      <c r="B11" s="19">
        <v>44773</v>
      </c>
      <c r="C11" s="1" t="s">
        <v>228</v>
      </c>
      <c r="D11" s="1" t="s">
        <v>229</v>
      </c>
      <c r="E11" s="1" t="s">
        <v>230</v>
      </c>
      <c r="F11" s="1">
        <v>996311</v>
      </c>
      <c r="G11" s="1" t="s">
        <v>169</v>
      </c>
      <c r="H11" s="5">
        <v>0.09</v>
      </c>
      <c r="I11" s="5">
        <v>0.09</v>
      </c>
      <c r="J11" s="20">
        <v>0.18</v>
      </c>
      <c r="K11" s="1" t="s">
        <v>231</v>
      </c>
      <c r="L11" s="1" t="s">
        <v>183</v>
      </c>
      <c r="M11" s="1" t="s">
        <v>232</v>
      </c>
      <c r="N11" s="1" t="s">
        <v>232</v>
      </c>
      <c r="O11" s="1" t="s">
        <v>233</v>
      </c>
      <c r="P11" s="1" t="s">
        <v>234</v>
      </c>
    </row>
    <row r="12" spans="1:16">
      <c r="A12" s="1" t="s">
        <v>156</v>
      </c>
      <c r="B12" s="19">
        <v>44804</v>
      </c>
      <c r="C12" s="1" t="s">
        <v>235</v>
      </c>
      <c r="D12" s="1" t="s">
        <v>229</v>
      </c>
      <c r="E12" s="1" t="s">
        <v>230</v>
      </c>
      <c r="F12" s="1">
        <v>996311</v>
      </c>
      <c r="G12" s="1" t="s">
        <v>169</v>
      </c>
      <c r="H12" s="5">
        <v>0.09</v>
      </c>
      <c r="I12" s="5">
        <v>0.09</v>
      </c>
      <c r="J12" s="20">
        <v>0.18</v>
      </c>
      <c r="K12" s="1" t="s">
        <v>231</v>
      </c>
      <c r="L12" s="1" t="s">
        <v>183</v>
      </c>
      <c r="M12" s="1" t="s">
        <v>232</v>
      </c>
      <c r="N12" s="1" t="s">
        <v>232</v>
      </c>
      <c r="O12" s="1" t="s">
        <v>233</v>
      </c>
      <c r="P12" s="1" t="s">
        <v>234</v>
      </c>
    </row>
    <row r="13" spans="1:16">
      <c r="A13" s="1" t="s">
        <v>156</v>
      </c>
      <c r="B13" s="19">
        <v>44833</v>
      </c>
      <c r="C13" s="1" t="s">
        <v>236</v>
      </c>
      <c r="D13" s="1" t="s">
        <v>237</v>
      </c>
      <c r="E13" s="1" t="s">
        <v>106</v>
      </c>
      <c r="F13" s="1">
        <v>996791</v>
      </c>
      <c r="G13" s="1" t="s">
        <v>169</v>
      </c>
      <c r="H13" s="5">
        <v>2.5000000000000001E-2</v>
      </c>
      <c r="I13" s="5">
        <v>2.5000000000000001E-2</v>
      </c>
      <c r="J13" s="20">
        <v>0.05</v>
      </c>
      <c r="K13" s="1" t="s">
        <v>238</v>
      </c>
      <c r="L13" s="1" t="s">
        <v>183</v>
      </c>
      <c r="M13" s="1" t="s">
        <v>239</v>
      </c>
      <c r="N13" s="1" t="s">
        <v>239</v>
      </c>
      <c r="O13" s="1" t="s">
        <v>240</v>
      </c>
      <c r="P13" s="1" t="s">
        <v>241</v>
      </c>
    </row>
    <row r="14" spans="1:16">
      <c r="A14" s="1" t="s">
        <v>156</v>
      </c>
      <c r="B14" s="19">
        <v>44833</v>
      </c>
      <c r="C14" s="1" t="s">
        <v>242</v>
      </c>
      <c r="D14" s="1" t="s">
        <v>243</v>
      </c>
      <c r="E14" s="1" t="s">
        <v>106</v>
      </c>
      <c r="F14" s="1">
        <v>996791</v>
      </c>
      <c r="G14" s="1" t="s">
        <v>169</v>
      </c>
      <c r="H14" s="5">
        <v>2.5000000000000001E-2</v>
      </c>
      <c r="I14" s="5">
        <v>2.5000000000000001E-2</v>
      </c>
      <c r="J14" s="20">
        <v>0.05</v>
      </c>
      <c r="K14" s="1" t="s">
        <v>244</v>
      </c>
      <c r="L14" s="1" t="s">
        <v>183</v>
      </c>
      <c r="M14" s="1" t="s">
        <v>245</v>
      </c>
      <c r="N14" s="1" t="s">
        <v>245</v>
      </c>
      <c r="O14" s="1" t="s">
        <v>246</v>
      </c>
      <c r="P14" s="1" t="s">
        <v>247</v>
      </c>
    </row>
    <row r="15" spans="1:16">
      <c r="A15" s="1" t="s">
        <v>156</v>
      </c>
      <c r="B15" s="19">
        <v>44833</v>
      </c>
      <c r="C15" s="1" t="s">
        <v>248</v>
      </c>
      <c r="D15" s="1" t="s">
        <v>229</v>
      </c>
      <c r="E15" s="1" t="s">
        <v>230</v>
      </c>
      <c r="F15" s="1">
        <v>996311</v>
      </c>
      <c r="G15" s="1" t="s">
        <v>169</v>
      </c>
      <c r="H15" s="5">
        <v>0.09</v>
      </c>
      <c r="I15" s="5">
        <v>0.09</v>
      </c>
      <c r="J15" s="20">
        <v>0.18</v>
      </c>
      <c r="K15" s="1" t="s">
        <v>249</v>
      </c>
      <c r="L15" s="1" t="s">
        <v>183</v>
      </c>
      <c r="M15" s="1" t="s">
        <v>250</v>
      </c>
      <c r="N15" s="1" t="s">
        <v>250</v>
      </c>
      <c r="O15" s="1" t="s">
        <v>251</v>
      </c>
      <c r="P15" s="1" t="s">
        <v>252</v>
      </c>
    </row>
    <row r="16" spans="1:16">
      <c r="A16" s="1" t="s">
        <v>156</v>
      </c>
      <c r="B16" s="19">
        <v>44833</v>
      </c>
      <c r="C16" s="1" t="s">
        <v>253</v>
      </c>
      <c r="D16" s="1" t="s">
        <v>254</v>
      </c>
      <c r="E16" s="1" t="s">
        <v>106</v>
      </c>
      <c r="F16" s="1">
        <v>996791</v>
      </c>
      <c r="G16" s="1" t="s">
        <v>170</v>
      </c>
      <c r="H16" s="5">
        <v>2.5000000000000001E-2</v>
      </c>
      <c r="I16" s="5">
        <v>2.5000000000000001E-2</v>
      </c>
      <c r="J16" s="20">
        <v>0.05</v>
      </c>
      <c r="K16" s="1" t="s">
        <v>255</v>
      </c>
      <c r="L16" s="1" t="s">
        <v>256</v>
      </c>
      <c r="M16" s="1" t="s">
        <v>183</v>
      </c>
      <c r="N16" s="1" t="s">
        <v>183</v>
      </c>
      <c r="O16" s="1" t="s">
        <v>256</v>
      </c>
      <c r="P16" s="1" t="s">
        <v>257</v>
      </c>
    </row>
    <row r="17" spans="1:16">
      <c r="A17" s="1" t="s">
        <v>156</v>
      </c>
      <c r="B17" s="19">
        <v>44865</v>
      </c>
      <c r="C17" s="1" t="s">
        <v>258</v>
      </c>
      <c r="D17" s="1" t="s">
        <v>188</v>
      </c>
      <c r="E17" s="1" t="s">
        <v>41</v>
      </c>
      <c r="F17" s="1">
        <v>998211</v>
      </c>
      <c r="G17" s="1" t="s">
        <v>169</v>
      </c>
      <c r="H17" s="5">
        <v>0.09</v>
      </c>
      <c r="I17" s="5">
        <v>0.09</v>
      </c>
      <c r="J17" s="20">
        <v>0.18</v>
      </c>
      <c r="K17" s="1" t="s">
        <v>259</v>
      </c>
      <c r="L17" s="1" t="s">
        <v>183</v>
      </c>
      <c r="M17" s="1" t="s">
        <v>211</v>
      </c>
      <c r="N17" s="1" t="s">
        <v>211</v>
      </c>
      <c r="O17" s="1" t="s">
        <v>215</v>
      </c>
      <c r="P17" s="1" t="s">
        <v>260</v>
      </c>
    </row>
    <row r="18" spans="1:16">
      <c r="A18" s="1" t="s">
        <v>156</v>
      </c>
      <c r="B18" s="19">
        <v>44865</v>
      </c>
      <c r="C18" s="1" t="s">
        <v>261</v>
      </c>
      <c r="D18" s="1" t="s">
        <v>229</v>
      </c>
      <c r="E18" s="1" t="s">
        <v>230</v>
      </c>
      <c r="F18" s="1">
        <v>996311</v>
      </c>
      <c r="G18" s="1" t="s">
        <v>169</v>
      </c>
      <c r="H18" s="5">
        <v>0.09</v>
      </c>
      <c r="I18" s="5">
        <v>0.09</v>
      </c>
      <c r="J18" s="20">
        <v>0.18</v>
      </c>
      <c r="K18" s="1" t="s">
        <v>231</v>
      </c>
      <c r="L18" s="1" t="s">
        <v>183</v>
      </c>
      <c r="M18" s="1" t="s">
        <v>232</v>
      </c>
      <c r="N18" s="1" t="s">
        <v>232</v>
      </c>
      <c r="O18" s="1" t="s">
        <v>233</v>
      </c>
      <c r="P18" s="1" t="s">
        <v>234</v>
      </c>
    </row>
    <row r="19" spans="1:16">
      <c r="A19" s="1" t="s">
        <v>156</v>
      </c>
      <c r="B19" s="19">
        <v>44895</v>
      </c>
      <c r="C19" s="1" t="s">
        <v>262</v>
      </c>
      <c r="D19" s="1" t="s">
        <v>229</v>
      </c>
      <c r="E19" s="1" t="s">
        <v>230</v>
      </c>
      <c r="F19" s="1">
        <v>996311</v>
      </c>
      <c r="G19" s="1" t="s">
        <v>169</v>
      </c>
      <c r="H19" s="5">
        <v>0.09</v>
      </c>
      <c r="I19" s="5">
        <v>0.09</v>
      </c>
      <c r="J19" s="20">
        <v>0.18</v>
      </c>
      <c r="K19" s="1" t="s">
        <v>249</v>
      </c>
      <c r="L19" s="1" t="s">
        <v>183</v>
      </c>
      <c r="M19" s="1" t="s">
        <v>250</v>
      </c>
      <c r="N19" s="1" t="s">
        <v>250</v>
      </c>
      <c r="O19" s="1" t="s">
        <v>251</v>
      </c>
      <c r="P19" s="1" t="s">
        <v>252</v>
      </c>
    </row>
    <row r="20" spans="1:16">
      <c r="A20" s="1" t="s">
        <v>156</v>
      </c>
      <c r="B20" s="19">
        <v>44925</v>
      </c>
      <c r="C20" s="1" t="s">
        <v>263</v>
      </c>
      <c r="D20" s="1" t="s">
        <v>229</v>
      </c>
      <c r="E20" s="1" t="s">
        <v>230</v>
      </c>
      <c r="F20" s="1">
        <v>996311</v>
      </c>
      <c r="G20" s="1" t="s">
        <v>169</v>
      </c>
      <c r="H20" s="5">
        <v>0.09</v>
      </c>
      <c r="I20" s="5">
        <v>0.09</v>
      </c>
      <c r="J20" s="20">
        <v>0.18</v>
      </c>
      <c r="K20" s="1" t="s">
        <v>249</v>
      </c>
      <c r="L20" s="1" t="s">
        <v>183</v>
      </c>
      <c r="M20" s="1" t="s">
        <v>250</v>
      </c>
      <c r="N20" s="1" t="s">
        <v>250</v>
      </c>
      <c r="O20" s="1" t="s">
        <v>251</v>
      </c>
      <c r="P20" s="1" t="s">
        <v>252</v>
      </c>
    </row>
    <row r="21" spans="1:16">
      <c r="A21" s="1" t="s">
        <v>156</v>
      </c>
      <c r="B21" s="19">
        <v>44925</v>
      </c>
      <c r="C21" s="1" t="s">
        <v>264</v>
      </c>
      <c r="D21" s="1" t="s">
        <v>181</v>
      </c>
      <c r="E21" s="1" t="s">
        <v>41</v>
      </c>
      <c r="F21" s="1">
        <v>998211</v>
      </c>
      <c r="G21" s="1" t="s">
        <v>169</v>
      </c>
      <c r="H21" s="5">
        <v>0.09</v>
      </c>
      <c r="I21" s="5">
        <v>0.09</v>
      </c>
      <c r="J21" s="20">
        <v>0.18</v>
      </c>
      <c r="K21" s="1" t="s">
        <v>265</v>
      </c>
      <c r="L21" s="1" t="s">
        <v>183</v>
      </c>
      <c r="M21" s="1" t="s">
        <v>266</v>
      </c>
      <c r="N21" s="1" t="s">
        <v>266</v>
      </c>
      <c r="O21" s="1" t="s">
        <v>267</v>
      </c>
      <c r="P21" s="1" t="s">
        <v>268</v>
      </c>
    </row>
    <row r="22" spans="1:16">
      <c r="A22" s="1" t="s">
        <v>156</v>
      </c>
      <c r="B22" s="19">
        <v>44985</v>
      </c>
      <c r="C22" s="1" t="s">
        <v>269</v>
      </c>
      <c r="D22" s="1" t="s">
        <v>254</v>
      </c>
      <c r="E22" s="1" t="s">
        <v>106</v>
      </c>
      <c r="F22" s="1">
        <v>996791</v>
      </c>
      <c r="G22" s="1" t="s">
        <v>169</v>
      </c>
      <c r="H22" s="5">
        <v>2.5000000000000001E-2</v>
      </c>
      <c r="I22" s="5">
        <v>2.5000000000000001E-2</v>
      </c>
      <c r="J22" s="20">
        <v>0.05</v>
      </c>
      <c r="K22" s="1" t="s">
        <v>270</v>
      </c>
      <c r="L22" s="1" t="s">
        <v>183</v>
      </c>
      <c r="M22" s="1" t="s">
        <v>271</v>
      </c>
      <c r="N22" s="1" t="s">
        <v>271</v>
      </c>
      <c r="O22" s="1" t="s">
        <v>272</v>
      </c>
      <c r="P22" s="1" t="s">
        <v>273</v>
      </c>
    </row>
    <row r="23" spans="1:16">
      <c r="A23" s="1" t="s">
        <v>156</v>
      </c>
      <c r="B23" s="19">
        <v>44985</v>
      </c>
      <c r="C23" s="1" t="s">
        <v>274</v>
      </c>
      <c r="D23" s="1" t="s">
        <v>254</v>
      </c>
      <c r="E23" s="1" t="s">
        <v>106</v>
      </c>
      <c r="F23" s="1">
        <v>996791</v>
      </c>
      <c r="G23" s="1" t="s">
        <v>170</v>
      </c>
      <c r="H23" s="5">
        <v>2.5000000000000001E-2</v>
      </c>
      <c r="I23" s="5">
        <v>2.5000000000000001E-2</v>
      </c>
      <c r="J23" s="20">
        <v>0.05</v>
      </c>
      <c r="K23" s="1" t="s">
        <v>275</v>
      </c>
      <c r="L23" s="1" t="s">
        <v>276</v>
      </c>
      <c r="M23" s="1" t="s">
        <v>183</v>
      </c>
      <c r="N23" s="1" t="s">
        <v>183</v>
      </c>
      <c r="O23" s="1" t="s">
        <v>276</v>
      </c>
      <c r="P23" s="1" t="s">
        <v>277</v>
      </c>
    </row>
    <row r="24" spans="1:16">
      <c r="A24" s="1" t="s">
        <v>156</v>
      </c>
      <c r="B24" s="19">
        <v>44985</v>
      </c>
      <c r="C24" s="1" t="s">
        <v>278</v>
      </c>
      <c r="D24" s="1" t="s">
        <v>254</v>
      </c>
      <c r="E24" s="1" t="s">
        <v>106</v>
      </c>
      <c r="F24" s="1">
        <v>996791</v>
      </c>
      <c r="G24" s="1" t="s">
        <v>169</v>
      </c>
      <c r="H24" s="5">
        <v>2.5000000000000001E-2</v>
      </c>
      <c r="I24" s="5">
        <v>2.5000000000000001E-2</v>
      </c>
      <c r="J24" s="20">
        <v>0.05</v>
      </c>
      <c r="K24" s="1" t="s">
        <v>279</v>
      </c>
      <c r="L24" s="1" t="s">
        <v>183</v>
      </c>
      <c r="M24" s="1" t="s">
        <v>280</v>
      </c>
      <c r="N24" s="1" t="s">
        <v>280</v>
      </c>
      <c r="O24" s="1" t="s">
        <v>281</v>
      </c>
      <c r="P24" s="1" t="s">
        <v>282</v>
      </c>
    </row>
    <row r="25" spans="1:16">
      <c r="A25" s="1" t="s">
        <v>156</v>
      </c>
      <c r="B25" s="19">
        <v>44985</v>
      </c>
      <c r="C25" s="1" t="s">
        <v>283</v>
      </c>
      <c r="D25" s="1" t="s">
        <v>254</v>
      </c>
      <c r="E25" s="1" t="s">
        <v>106</v>
      </c>
      <c r="F25" s="1">
        <v>996791</v>
      </c>
      <c r="G25" s="1" t="s">
        <v>170</v>
      </c>
      <c r="H25" s="5">
        <v>2.5000000000000001E-2</v>
      </c>
      <c r="I25" s="5">
        <v>2.5000000000000001E-2</v>
      </c>
      <c r="J25" s="20">
        <v>0.05</v>
      </c>
      <c r="K25" s="1" t="s">
        <v>284</v>
      </c>
      <c r="L25" s="1" t="s">
        <v>285</v>
      </c>
      <c r="M25" s="1" t="s">
        <v>183</v>
      </c>
      <c r="N25" s="1" t="s">
        <v>183</v>
      </c>
      <c r="O25" s="1" t="s">
        <v>286</v>
      </c>
      <c r="P25" s="1" t="s">
        <v>287</v>
      </c>
    </row>
    <row r="26" spans="1:16">
      <c r="A26" s="1" t="s">
        <v>156</v>
      </c>
      <c r="B26" s="19">
        <v>44985</v>
      </c>
      <c r="C26" s="1" t="s">
        <v>288</v>
      </c>
      <c r="D26" s="1" t="s">
        <v>254</v>
      </c>
      <c r="E26" s="1" t="s">
        <v>106</v>
      </c>
      <c r="F26" s="1">
        <v>996791</v>
      </c>
      <c r="G26" s="1" t="s">
        <v>169</v>
      </c>
      <c r="H26" s="5">
        <v>2.5000000000000001E-2</v>
      </c>
      <c r="I26" s="5">
        <v>2.5000000000000001E-2</v>
      </c>
      <c r="J26" s="20">
        <v>0.05</v>
      </c>
      <c r="K26" s="1" t="s">
        <v>289</v>
      </c>
      <c r="L26" s="1" t="s">
        <v>183</v>
      </c>
      <c r="M26" s="1" t="s">
        <v>290</v>
      </c>
      <c r="N26" s="1" t="s">
        <v>290</v>
      </c>
      <c r="O26" s="1" t="s">
        <v>291</v>
      </c>
      <c r="P26" s="1" t="s">
        <v>292</v>
      </c>
    </row>
    <row r="27" spans="1:16">
      <c r="A27" s="1" t="s">
        <v>156</v>
      </c>
      <c r="B27" s="19">
        <v>44985</v>
      </c>
      <c r="C27" s="1" t="s">
        <v>293</v>
      </c>
      <c r="D27" s="1" t="s">
        <v>254</v>
      </c>
      <c r="E27" s="1" t="s">
        <v>106</v>
      </c>
      <c r="F27" s="1">
        <v>996791</v>
      </c>
      <c r="G27" s="1" t="s">
        <v>170</v>
      </c>
      <c r="H27" s="5">
        <v>2.5000000000000001E-2</v>
      </c>
      <c r="I27" s="5">
        <v>2.5000000000000001E-2</v>
      </c>
      <c r="J27" s="20">
        <v>0.05</v>
      </c>
      <c r="K27" s="1" t="s">
        <v>294</v>
      </c>
      <c r="L27" s="1" t="s">
        <v>295</v>
      </c>
      <c r="M27" s="1" t="s">
        <v>183</v>
      </c>
      <c r="N27" s="1" t="s">
        <v>183</v>
      </c>
      <c r="O27" s="1" t="s">
        <v>295</v>
      </c>
      <c r="P27" s="1" t="s">
        <v>296</v>
      </c>
    </row>
    <row r="28" spans="1:16">
      <c r="A28" s="1" t="s">
        <v>156</v>
      </c>
      <c r="B28" s="19">
        <v>44985</v>
      </c>
      <c r="C28" s="1" t="s">
        <v>297</v>
      </c>
      <c r="D28" s="1" t="s">
        <v>298</v>
      </c>
      <c r="E28" s="1" t="s">
        <v>106</v>
      </c>
      <c r="F28" s="1">
        <v>996791</v>
      </c>
      <c r="G28" s="1" t="s">
        <v>170</v>
      </c>
      <c r="H28" s="5">
        <v>2.5000000000000001E-2</v>
      </c>
      <c r="I28" s="5">
        <v>2.5000000000000001E-2</v>
      </c>
      <c r="J28" s="20">
        <v>0.05</v>
      </c>
      <c r="K28" s="1" t="s">
        <v>299</v>
      </c>
      <c r="L28" s="1" t="s">
        <v>300</v>
      </c>
      <c r="M28" s="1" t="s">
        <v>183</v>
      </c>
      <c r="N28" s="1" t="s">
        <v>183</v>
      </c>
      <c r="O28" s="1" t="s">
        <v>300</v>
      </c>
      <c r="P28" s="1" t="s">
        <v>301</v>
      </c>
    </row>
    <row r="29" spans="1:16">
      <c r="A29" s="1" t="s">
        <v>156</v>
      </c>
      <c r="B29" s="19">
        <v>44985</v>
      </c>
      <c r="C29" s="1" t="s">
        <v>302</v>
      </c>
      <c r="D29" s="1" t="s">
        <v>303</v>
      </c>
      <c r="E29" s="1" t="s">
        <v>84</v>
      </c>
      <c r="F29" s="1">
        <v>996412</v>
      </c>
      <c r="G29" s="1" t="s">
        <v>169</v>
      </c>
      <c r="H29" s="5">
        <v>2.5000000000000001E-2</v>
      </c>
      <c r="I29" s="5">
        <v>2.5000000000000001E-2</v>
      </c>
      <c r="J29" s="20">
        <v>0.05</v>
      </c>
      <c r="K29" s="1" t="s">
        <v>304</v>
      </c>
      <c r="L29" s="1" t="s">
        <v>183</v>
      </c>
      <c r="M29" s="1" t="s">
        <v>305</v>
      </c>
      <c r="N29" s="1" t="s">
        <v>305</v>
      </c>
      <c r="O29" s="1" t="s">
        <v>306</v>
      </c>
      <c r="P29" s="1" t="s">
        <v>307</v>
      </c>
    </row>
    <row r="30" spans="1:16">
      <c r="A30" s="1" t="s">
        <v>156</v>
      </c>
      <c r="B30" s="19">
        <v>45016</v>
      </c>
      <c r="C30" s="1" t="s">
        <v>308</v>
      </c>
      <c r="D30" s="1" t="s">
        <v>188</v>
      </c>
      <c r="E30" s="1" t="s">
        <v>41</v>
      </c>
      <c r="F30" s="1">
        <v>998211</v>
      </c>
      <c r="G30" s="1" t="s">
        <v>170</v>
      </c>
      <c r="H30" s="5">
        <v>0.09</v>
      </c>
      <c r="I30" s="5">
        <v>0.09</v>
      </c>
      <c r="J30" s="20">
        <v>0.18</v>
      </c>
      <c r="K30" s="1" t="s">
        <v>309</v>
      </c>
      <c r="L30" s="1" t="s">
        <v>310</v>
      </c>
      <c r="M30" s="1" t="s">
        <v>183</v>
      </c>
      <c r="N30" s="1" t="s">
        <v>183</v>
      </c>
      <c r="O30" s="1" t="s">
        <v>310</v>
      </c>
      <c r="P30" s="1" t="s">
        <v>311</v>
      </c>
    </row>
    <row r="31" spans="1:16">
      <c r="A31" s="1" t="s">
        <v>156</v>
      </c>
      <c r="B31" s="19">
        <v>44985</v>
      </c>
      <c r="C31" s="1" t="s">
        <v>312</v>
      </c>
      <c r="D31" s="1" t="s">
        <v>254</v>
      </c>
      <c r="E31" s="1" t="s">
        <v>106</v>
      </c>
      <c r="F31" s="1">
        <v>996791</v>
      </c>
      <c r="G31" s="1" t="s">
        <v>170</v>
      </c>
      <c r="H31" s="5">
        <v>2.5000000000000001E-2</v>
      </c>
      <c r="I31" s="5">
        <v>2.5000000000000001E-2</v>
      </c>
      <c r="J31" s="20">
        <v>0.05</v>
      </c>
      <c r="K31" s="1" t="s">
        <v>313</v>
      </c>
      <c r="L31" s="1" t="s">
        <v>246</v>
      </c>
      <c r="M31" s="1" t="s">
        <v>183</v>
      </c>
      <c r="N31" s="1" t="s">
        <v>183</v>
      </c>
      <c r="O31" s="1" t="s">
        <v>246</v>
      </c>
      <c r="P31" s="1" t="s">
        <v>314</v>
      </c>
    </row>
    <row r="32" spans="1:16">
      <c r="A32" s="1" t="s">
        <v>156</v>
      </c>
      <c r="B32" s="19">
        <v>44985</v>
      </c>
      <c r="C32" s="1" t="s">
        <v>315</v>
      </c>
      <c r="D32" s="1" t="s">
        <v>254</v>
      </c>
      <c r="E32" s="1" t="s">
        <v>106</v>
      </c>
      <c r="F32" s="1">
        <v>996791</v>
      </c>
      <c r="G32" s="1" t="s">
        <v>169</v>
      </c>
      <c r="H32" s="5">
        <v>2.5000000000000001E-2</v>
      </c>
      <c r="I32" s="5">
        <v>2.5000000000000001E-2</v>
      </c>
      <c r="J32" s="20">
        <v>0.05</v>
      </c>
      <c r="K32" s="1" t="s">
        <v>306</v>
      </c>
      <c r="L32" s="1" t="s">
        <v>183</v>
      </c>
      <c r="M32" s="1" t="s">
        <v>316</v>
      </c>
      <c r="N32" s="1" t="s">
        <v>316</v>
      </c>
      <c r="O32" s="1" t="s">
        <v>291</v>
      </c>
      <c r="P32" s="1" t="s">
        <v>317</v>
      </c>
    </row>
    <row r="33" spans="1:16">
      <c r="A33" s="1" t="s">
        <v>156</v>
      </c>
      <c r="B33" s="19">
        <v>44985</v>
      </c>
      <c r="C33" s="1" t="s">
        <v>318</v>
      </c>
      <c r="D33" s="1" t="s">
        <v>254</v>
      </c>
      <c r="E33" s="1" t="s">
        <v>106</v>
      </c>
      <c r="F33" s="1">
        <v>996791</v>
      </c>
      <c r="G33" s="1" t="s">
        <v>170</v>
      </c>
      <c r="H33" s="5">
        <v>2.5000000000000001E-2</v>
      </c>
      <c r="I33" s="5">
        <v>2.5000000000000001E-2</v>
      </c>
      <c r="J33" s="20">
        <v>0.05</v>
      </c>
      <c r="K33" s="1" t="s">
        <v>319</v>
      </c>
      <c r="L33" s="1" t="s">
        <v>320</v>
      </c>
      <c r="M33" s="1" t="s">
        <v>183</v>
      </c>
      <c r="N33" s="1" t="s">
        <v>183</v>
      </c>
      <c r="O33" s="1" t="s">
        <v>320</v>
      </c>
      <c r="P33" s="1" t="s">
        <v>321</v>
      </c>
    </row>
    <row r="34" spans="1:16">
      <c r="A34" s="1" t="s">
        <v>156</v>
      </c>
      <c r="B34" s="19">
        <v>45046</v>
      </c>
      <c r="C34" s="1" t="s">
        <v>322</v>
      </c>
      <c r="D34" s="1" t="s">
        <v>323</v>
      </c>
      <c r="E34" s="1" t="s">
        <v>41</v>
      </c>
      <c r="F34" s="1">
        <v>998211</v>
      </c>
      <c r="G34" s="1" t="s">
        <v>169</v>
      </c>
      <c r="H34" s="5">
        <v>0.09</v>
      </c>
      <c r="I34" s="5">
        <v>0.09</v>
      </c>
      <c r="J34" s="20">
        <v>0.18</v>
      </c>
      <c r="K34" s="1" t="s">
        <v>304</v>
      </c>
      <c r="L34" s="1" t="s">
        <v>183</v>
      </c>
      <c r="M34" s="1" t="s">
        <v>324</v>
      </c>
      <c r="N34" s="1" t="s">
        <v>324</v>
      </c>
      <c r="O34" s="1" t="s">
        <v>325</v>
      </c>
      <c r="P34" s="1" t="s">
        <v>326</v>
      </c>
    </row>
    <row r="35" spans="1:16">
      <c r="A35" s="1" t="s">
        <v>156</v>
      </c>
      <c r="B35" s="19">
        <v>45046</v>
      </c>
      <c r="C35" s="1" t="s">
        <v>327</v>
      </c>
      <c r="D35" s="1" t="s">
        <v>328</v>
      </c>
      <c r="E35" s="1" t="s">
        <v>41</v>
      </c>
      <c r="F35" s="1">
        <v>998211</v>
      </c>
      <c r="G35" s="1" t="s">
        <v>169</v>
      </c>
      <c r="H35" s="5">
        <v>0.09</v>
      </c>
      <c r="I35" s="5">
        <v>0.09</v>
      </c>
      <c r="J35" s="20">
        <v>0.18</v>
      </c>
      <c r="K35" s="1" t="s">
        <v>329</v>
      </c>
      <c r="L35" s="1" t="s">
        <v>183</v>
      </c>
      <c r="M35" s="1" t="s">
        <v>330</v>
      </c>
      <c r="N35" s="1" t="s">
        <v>330</v>
      </c>
      <c r="O35" s="1" t="s">
        <v>331</v>
      </c>
      <c r="P35" s="1" t="s">
        <v>332</v>
      </c>
    </row>
    <row r="36" spans="1:16">
      <c r="A36" s="1" t="s">
        <v>156</v>
      </c>
      <c r="B36" s="19">
        <v>45046</v>
      </c>
      <c r="C36" s="1" t="s">
        <v>333</v>
      </c>
      <c r="D36" s="1" t="s">
        <v>328</v>
      </c>
      <c r="E36" s="1" t="s">
        <v>41</v>
      </c>
      <c r="F36" s="1">
        <v>998211</v>
      </c>
      <c r="G36" s="1" t="s">
        <v>169</v>
      </c>
      <c r="H36" s="5">
        <v>0.09</v>
      </c>
      <c r="I36" s="5">
        <v>0.09</v>
      </c>
      <c r="J36" s="20">
        <v>0.18</v>
      </c>
      <c r="K36" s="1" t="s">
        <v>231</v>
      </c>
      <c r="L36" s="1" t="s">
        <v>183</v>
      </c>
      <c r="M36" s="1" t="s">
        <v>232</v>
      </c>
      <c r="N36" s="1" t="s">
        <v>232</v>
      </c>
      <c r="O36" s="1" t="s">
        <v>233</v>
      </c>
      <c r="P36" s="1" t="s">
        <v>234</v>
      </c>
    </row>
    <row r="37" spans="1:16">
      <c r="A37" s="1" t="s">
        <v>156</v>
      </c>
      <c r="B37" s="19">
        <v>45046</v>
      </c>
      <c r="C37" s="1" t="s">
        <v>334</v>
      </c>
      <c r="D37" s="1" t="s">
        <v>328</v>
      </c>
      <c r="E37" s="1" t="s">
        <v>41</v>
      </c>
      <c r="F37" s="1">
        <v>998211</v>
      </c>
      <c r="G37" s="1" t="s">
        <v>169</v>
      </c>
      <c r="H37" s="5">
        <v>0.09</v>
      </c>
      <c r="I37" s="5">
        <v>0.09</v>
      </c>
      <c r="J37" s="20">
        <v>0.18</v>
      </c>
      <c r="K37" s="1" t="s">
        <v>335</v>
      </c>
      <c r="L37" s="1" t="s">
        <v>183</v>
      </c>
      <c r="M37" s="1" t="s">
        <v>336</v>
      </c>
      <c r="N37" s="1" t="s">
        <v>336</v>
      </c>
      <c r="O37" s="1" t="s">
        <v>337</v>
      </c>
      <c r="P37" s="1" t="s">
        <v>338</v>
      </c>
    </row>
    <row r="38" spans="1:16">
      <c r="A38" s="1" t="s">
        <v>156</v>
      </c>
      <c r="B38" s="19">
        <v>45046</v>
      </c>
      <c r="C38" s="1" t="s">
        <v>339</v>
      </c>
      <c r="D38" s="1" t="s">
        <v>254</v>
      </c>
      <c r="E38" s="1" t="s">
        <v>106</v>
      </c>
      <c r="F38" s="1">
        <v>996791</v>
      </c>
      <c r="G38" s="1" t="s">
        <v>170</v>
      </c>
      <c r="H38" s="5">
        <v>2.5000000000000001E-2</v>
      </c>
      <c r="I38" s="5">
        <v>2.5000000000000001E-2</v>
      </c>
      <c r="J38" s="20">
        <v>0.05</v>
      </c>
      <c r="K38" s="1" t="s">
        <v>340</v>
      </c>
      <c r="L38" s="1" t="s">
        <v>341</v>
      </c>
      <c r="M38" s="1" t="s">
        <v>183</v>
      </c>
      <c r="N38" s="1" t="s">
        <v>183</v>
      </c>
      <c r="O38" s="1" t="s">
        <v>341</v>
      </c>
      <c r="P38" s="1" t="s">
        <v>342</v>
      </c>
    </row>
    <row r="39" spans="1:16">
      <c r="A39" s="1" t="s">
        <v>156</v>
      </c>
      <c r="B39" s="19">
        <v>45046</v>
      </c>
      <c r="C39" s="1" t="s">
        <v>343</v>
      </c>
      <c r="D39" s="1" t="s">
        <v>344</v>
      </c>
      <c r="E39" s="1" t="s">
        <v>106</v>
      </c>
      <c r="F39" s="1">
        <v>996791</v>
      </c>
      <c r="G39" s="1" t="s">
        <v>169</v>
      </c>
      <c r="H39" s="5">
        <v>2.5000000000000001E-2</v>
      </c>
      <c r="I39" s="5">
        <v>2.5000000000000001E-2</v>
      </c>
      <c r="J39" s="20">
        <v>0.05</v>
      </c>
      <c r="K39" s="1" t="s">
        <v>345</v>
      </c>
      <c r="L39" s="1" t="s">
        <v>183</v>
      </c>
      <c r="M39" s="1" t="s">
        <v>346</v>
      </c>
      <c r="N39" s="1" t="s">
        <v>346</v>
      </c>
      <c r="O39" s="1" t="s">
        <v>280</v>
      </c>
      <c r="P39" s="1" t="s">
        <v>347</v>
      </c>
    </row>
    <row r="40" spans="1:16">
      <c r="A40" s="1" t="s">
        <v>156</v>
      </c>
      <c r="B40" s="19">
        <v>45046</v>
      </c>
      <c r="C40" s="1" t="s">
        <v>348</v>
      </c>
      <c r="D40" s="1" t="s">
        <v>254</v>
      </c>
      <c r="E40" s="1" t="s">
        <v>106</v>
      </c>
      <c r="F40" s="1">
        <v>996791</v>
      </c>
      <c r="G40" s="1" t="s">
        <v>169</v>
      </c>
      <c r="H40" s="5">
        <v>2.5000000000000001E-2</v>
      </c>
      <c r="I40" s="5">
        <v>2.5000000000000001E-2</v>
      </c>
      <c r="J40" s="20">
        <v>0.05</v>
      </c>
      <c r="K40" s="1" t="s">
        <v>349</v>
      </c>
      <c r="L40" s="1" t="s">
        <v>183</v>
      </c>
      <c r="M40" s="1" t="s">
        <v>350</v>
      </c>
      <c r="N40" s="1" t="s">
        <v>350</v>
      </c>
      <c r="O40" s="1" t="s">
        <v>351</v>
      </c>
      <c r="P40" s="1" t="s">
        <v>352</v>
      </c>
    </row>
    <row r="41" spans="1:16">
      <c r="A41" s="1" t="s">
        <v>156</v>
      </c>
      <c r="B41" s="19">
        <v>45046</v>
      </c>
      <c r="C41" s="1" t="s">
        <v>353</v>
      </c>
      <c r="D41" s="1" t="s">
        <v>298</v>
      </c>
      <c r="E41" s="1" t="s">
        <v>106</v>
      </c>
      <c r="F41" s="1">
        <v>996791</v>
      </c>
      <c r="G41" s="1" t="s">
        <v>170</v>
      </c>
      <c r="H41" s="5">
        <v>2.5000000000000001E-2</v>
      </c>
      <c r="I41" s="5">
        <v>2.5000000000000001E-2</v>
      </c>
      <c r="J41" s="20">
        <v>0.05</v>
      </c>
      <c r="K41" s="1" t="s">
        <v>354</v>
      </c>
      <c r="L41" s="1" t="s">
        <v>355</v>
      </c>
      <c r="M41" s="1" t="s">
        <v>183</v>
      </c>
      <c r="N41" s="1" t="s">
        <v>183</v>
      </c>
      <c r="O41" s="1" t="s">
        <v>355</v>
      </c>
      <c r="P41" s="1" t="s">
        <v>356</v>
      </c>
    </row>
    <row r="42" spans="1:16">
      <c r="A42" s="1" t="s">
        <v>156</v>
      </c>
      <c r="B42" s="19">
        <v>45077</v>
      </c>
      <c r="C42" s="1" t="s">
        <v>357</v>
      </c>
      <c r="D42" s="1" t="s">
        <v>254</v>
      </c>
      <c r="E42" s="1" t="s">
        <v>106</v>
      </c>
      <c r="F42" s="1">
        <v>996791</v>
      </c>
      <c r="G42" s="1" t="s">
        <v>170</v>
      </c>
      <c r="H42" s="5">
        <v>2.5000000000000001E-2</v>
      </c>
      <c r="I42" s="5">
        <v>2.5000000000000001E-2</v>
      </c>
      <c r="J42" s="20">
        <v>0.05</v>
      </c>
      <c r="K42" s="1" t="s">
        <v>358</v>
      </c>
      <c r="L42" s="1" t="s">
        <v>359</v>
      </c>
      <c r="M42" s="1" t="s">
        <v>183</v>
      </c>
      <c r="N42" s="1" t="s">
        <v>183</v>
      </c>
      <c r="O42" s="1" t="s">
        <v>359</v>
      </c>
      <c r="P42" s="1" t="s">
        <v>360</v>
      </c>
    </row>
    <row r="43" spans="1:16">
      <c r="A43" s="1" t="s">
        <v>156</v>
      </c>
      <c r="B43" s="19">
        <v>45077</v>
      </c>
      <c r="C43" s="1" t="s">
        <v>361</v>
      </c>
      <c r="D43" s="1" t="s">
        <v>254</v>
      </c>
      <c r="E43" s="1" t="s">
        <v>106</v>
      </c>
      <c r="F43" s="1">
        <v>996791</v>
      </c>
      <c r="G43" s="1" t="s">
        <v>169</v>
      </c>
      <c r="H43" s="5">
        <v>2.5000000000000001E-2</v>
      </c>
      <c r="I43" s="5">
        <v>2.5000000000000001E-2</v>
      </c>
      <c r="J43" s="20">
        <v>0.05</v>
      </c>
      <c r="K43" s="1" t="s">
        <v>362</v>
      </c>
      <c r="L43" s="1" t="s">
        <v>183</v>
      </c>
      <c r="M43" s="1" t="s">
        <v>363</v>
      </c>
      <c r="N43" s="1" t="s">
        <v>363</v>
      </c>
      <c r="O43" s="1" t="s">
        <v>364</v>
      </c>
      <c r="P43" s="1" t="s">
        <v>365</v>
      </c>
    </row>
    <row r="44" spans="1:16">
      <c r="A44" s="1" t="s">
        <v>156</v>
      </c>
      <c r="B44" s="19">
        <v>45077</v>
      </c>
      <c r="C44" s="1" t="s">
        <v>366</v>
      </c>
      <c r="D44" s="1" t="s">
        <v>367</v>
      </c>
      <c r="E44" s="1" t="s">
        <v>106</v>
      </c>
      <c r="F44" s="1">
        <v>996791</v>
      </c>
      <c r="G44" s="1" t="s">
        <v>170</v>
      </c>
      <c r="H44" s="5">
        <v>2.5000000000000001E-2</v>
      </c>
      <c r="I44" s="5">
        <v>2.5000000000000001E-2</v>
      </c>
      <c r="J44" s="20">
        <v>0.05</v>
      </c>
      <c r="K44" s="1" t="s">
        <v>368</v>
      </c>
      <c r="L44" s="1" t="s">
        <v>369</v>
      </c>
      <c r="M44" s="1" t="s">
        <v>183</v>
      </c>
      <c r="N44" s="1" t="s">
        <v>183</v>
      </c>
      <c r="O44" s="1" t="s">
        <v>369</v>
      </c>
      <c r="P44" s="1" t="s">
        <v>370</v>
      </c>
    </row>
    <row r="45" spans="1:16">
      <c r="A45" s="1" t="s">
        <v>156</v>
      </c>
      <c r="B45" s="19">
        <v>45077</v>
      </c>
      <c r="C45" s="1" t="s">
        <v>371</v>
      </c>
      <c r="D45" s="1" t="s">
        <v>372</v>
      </c>
      <c r="E45" s="1" t="s">
        <v>41</v>
      </c>
      <c r="F45" s="1">
        <v>998211</v>
      </c>
      <c r="G45" s="1" t="s">
        <v>169</v>
      </c>
      <c r="H45" s="5">
        <v>0.09</v>
      </c>
      <c r="I45" s="5">
        <v>0.09</v>
      </c>
      <c r="J45" s="20">
        <v>0.18</v>
      </c>
      <c r="K45" s="1" t="s">
        <v>249</v>
      </c>
      <c r="L45" s="1" t="s">
        <v>183</v>
      </c>
      <c r="M45" s="1" t="s">
        <v>250</v>
      </c>
      <c r="N45" s="1" t="s">
        <v>250</v>
      </c>
      <c r="O45" s="1" t="s">
        <v>251</v>
      </c>
      <c r="P45" s="1" t="s">
        <v>252</v>
      </c>
    </row>
    <row r="46" spans="1:16">
      <c r="A46" s="1" t="s">
        <v>156</v>
      </c>
      <c r="B46" s="19">
        <v>45077</v>
      </c>
      <c r="C46" s="1" t="s">
        <v>373</v>
      </c>
      <c r="D46" s="1" t="s">
        <v>374</v>
      </c>
      <c r="E46" s="1" t="s">
        <v>106</v>
      </c>
      <c r="F46" s="1">
        <v>996791</v>
      </c>
      <c r="G46" s="1" t="s">
        <v>169</v>
      </c>
      <c r="H46" s="5">
        <v>2.5000000000000001E-2</v>
      </c>
      <c r="I46" s="5">
        <v>2.5000000000000001E-2</v>
      </c>
      <c r="J46" s="20">
        <v>0.05</v>
      </c>
      <c r="K46" s="1" t="s">
        <v>375</v>
      </c>
      <c r="L46" s="1" t="s">
        <v>183</v>
      </c>
      <c r="M46" s="1" t="s">
        <v>376</v>
      </c>
      <c r="N46" s="1" t="s">
        <v>376</v>
      </c>
      <c r="O46" s="1" t="s">
        <v>377</v>
      </c>
      <c r="P46" s="1" t="s">
        <v>378</v>
      </c>
    </row>
    <row r="47" spans="1:16">
      <c r="A47" s="1" t="s">
        <v>156</v>
      </c>
      <c r="B47" s="19">
        <v>45077</v>
      </c>
      <c r="C47" s="1" t="s">
        <v>379</v>
      </c>
      <c r="D47" s="1" t="s">
        <v>328</v>
      </c>
      <c r="E47" s="1" t="s">
        <v>41</v>
      </c>
      <c r="F47" s="1">
        <v>998211</v>
      </c>
      <c r="G47" s="1" t="s">
        <v>169</v>
      </c>
      <c r="H47" s="5">
        <v>0.09</v>
      </c>
      <c r="I47" s="5">
        <v>0.09</v>
      </c>
      <c r="J47" s="20">
        <v>0.18</v>
      </c>
      <c r="K47" s="1" t="s">
        <v>249</v>
      </c>
      <c r="L47" s="1" t="s">
        <v>183</v>
      </c>
      <c r="M47" s="1" t="s">
        <v>250</v>
      </c>
      <c r="N47" s="1" t="s">
        <v>250</v>
      </c>
      <c r="O47" s="1" t="s">
        <v>251</v>
      </c>
      <c r="P47" s="1" t="s">
        <v>252</v>
      </c>
    </row>
    <row r="48" spans="1:16">
      <c r="A48" s="1" t="s">
        <v>156</v>
      </c>
      <c r="B48" s="19">
        <v>45077</v>
      </c>
      <c r="C48" s="1" t="s">
        <v>380</v>
      </c>
      <c r="D48" s="1" t="s">
        <v>372</v>
      </c>
      <c r="E48" s="1" t="s">
        <v>41</v>
      </c>
      <c r="F48" s="1">
        <v>998211</v>
      </c>
      <c r="G48" s="1" t="s">
        <v>169</v>
      </c>
      <c r="H48" s="5">
        <v>0.09</v>
      </c>
      <c r="I48" s="5">
        <v>0.09</v>
      </c>
      <c r="J48" s="20">
        <v>0.18</v>
      </c>
      <c r="K48" s="1" t="s">
        <v>381</v>
      </c>
      <c r="L48" s="1" t="s">
        <v>183</v>
      </c>
      <c r="M48" s="1" t="s">
        <v>382</v>
      </c>
      <c r="N48" s="1" t="s">
        <v>382</v>
      </c>
      <c r="O48" s="1" t="s">
        <v>383</v>
      </c>
      <c r="P48" s="1" t="s">
        <v>384</v>
      </c>
    </row>
    <row r="49" spans="1:16">
      <c r="A49" s="1" t="s">
        <v>156</v>
      </c>
      <c r="B49" s="19">
        <v>45138</v>
      </c>
      <c r="C49" s="1" t="s">
        <v>385</v>
      </c>
      <c r="D49" s="1" t="s">
        <v>188</v>
      </c>
      <c r="E49" s="1" t="s">
        <v>41</v>
      </c>
      <c r="F49" s="1">
        <v>998211</v>
      </c>
      <c r="G49" s="1" t="s">
        <v>169</v>
      </c>
      <c r="H49" s="5">
        <v>0.09</v>
      </c>
      <c r="I49" s="5">
        <v>0.09</v>
      </c>
      <c r="J49" s="20">
        <v>0.18</v>
      </c>
      <c r="K49" s="1" t="s">
        <v>386</v>
      </c>
      <c r="L49" s="1" t="s">
        <v>183</v>
      </c>
      <c r="M49" s="1" t="s">
        <v>387</v>
      </c>
      <c r="N49" s="1" t="s">
        <v>387</v>
      </c>
      <c r="O49" s="1" t="s">
        <v>388</v>
      </c>
      <c r="P49" s="1" t="s">
        <v>389</v>
      </c>
    </row>
    <row r="50" spans="1:16">
      <c r="A50" s="1" t="s">
        <v>156</v>
      </c>
      <c r="B50" s="19">
        <v>45169</v>
      </c>
      <c r="C50" s="1" t="s">
        <v>390</v>
      </c>
      <c r="D50" s="1" t="s">
        <v>391</v>
      </c>
      <c r="E50" s="1" t="s">
        <v>106</v>
      </c>
      <c r="F50" s="1">
        <v>996791</v>
      </c>
      <c r="G50" s="1" t="s">
        <v>169</v>
      </c>
      <c r="H50" s="5">
        <v>2.5000000000000001E-2</v>
      </c>
      <c r="I50" s="5">
        <v>2.5000000000000001E-2</v>
      </c>
      <c r="J50" s="20">
        <v>0.05</v>
      </c>
      <c r="K50" s="1" t="s">
        <v>392</v>
      </c>
      <c r="L50" s="1" t="s">
        <v>183</v>
      </c>
      <c r="M50" s="1" t="s">
        <v>393</v>
      </c>
      <c r="N50" s="1" t="s">
        <v>393</v>
      </c>
      <c r="O50" s="1" t="s">
        <v>394</v>
      </c>
      <c r="P50" s="1" t="s">
        <v>395</v>
      </c>
    </row>
    <row r="51" spans="1:16">
      <c r="A51" s="1" t="s">
        <v>156</v>
      </c>
      <c r="B51" s="19">
        <v>45199</v>
      </c>
      <c r="C51" s="1" t="s">
        <v>396</v>
      </c>
      <c r="D51" s="1" t="s">
        <v>188</v>
      </c>
      <c r="E51" s="1" t="s">
        <v>41</v>
      </c>
      <c r="F51" s="1">
        <v>998211</v>
      </c>
      <c r="G51" s="1" t="s">
        <v>169</v>
      </c>
      <c r="H51" s="5">
        <v>0.09</v>
      </c>
      <c r="I51" s="5">
        <v>0.09</v>
      </c>
      <c r="J51" s="20">
        <v>0.18</v>
      </c>
      <c r="K51" s="1" t="s">
        <v>397</v>
      </c>
      <c r="L51" s="1" t="s">
        <v>183</v>
      </c>
      <c r="M51" s="1" t="s">
        <v>398</v>
      </c>
      <c r="N51" s="1" t="s">
        <v>398</v>
      </c>
      <c r="O51" s="1" t="s">
        <v>399</v>
      </c>
      <c r="P51" s="1" t="s">
        <v>400</v>
      </c>
    </row>
    <row r="52" spans="1:16">
      <c r="A52" s="1" t="s">
        <v>156</v>
      </c>
      <c r="B52" s="19">
        <v>45199</v>
      </c>
      <c r="C52" s="1" t="s">
        <v>401</v>
      </c>
      <c r="D52" s="1" t="s">
        <v>181</v>
      </c>
      <c r="E52" s="1" t="s">
        <v>41</v>
      </c>
      <c r="F52" s="1">
        <v>998211</v>
      </c>
      <c r="G52" s="1" t="s">
        <v>169</v>
      </c>
      <c r="H52" s="5">
        <v>0.09</v>
      </c>
      <c r="I52" s="5">
        <v>0.09</v>
      </c>
      <c r="J52" s="20">
        <v>0.18</v>
      </c>
      <c r="K52" s="1" t="s">
        <v>402</v>
      </c>
      <c r="L52" s="1" t="s">
        <v>183</v>
      </c>
      <c r="M52" s="1" t="s">
        <v>403</v>
      </c>
      <c r="N52" s="1" t="s">
        <v>403</v>
      </c>
      <c r="O52" s="1" t="s">
        <v>404</v>
      </c>
      <c r="P52" s="1" t="s">
        <v>405</v>
      </c>
    </row>
    <row r="53" spans="1:16">
      <c r="A53" s="1" t="s">
        <v>156</v>
      </c>
      <c r="B53" s="19">
        <v>45229</v>
      </c>
      <c r="C53" s="1" t="s">
        <v>406</v>
      </c>
      <c r="D53" s="1" t="s">
        <v>407</v>
      </c>
      <c r="E53" s="1" t="s">
        <v>41</v>
      </c>
      <c r="F53" s="1">
        <v>998211</v>
      </c>
      <c r="G53" s="1" t="s">
        <v>169</v>
      </c>
      <c r="H53" s="5">
        <v>0.09</v>
      </c>
      <c r="I53" s="5">
        <v>0.09</v>
      </c>
      <c r="J53" s="20">
        <v>0.18</v>
      </c>
      <c r="K53" s="1" t="s">
        <v>408</v>
      </c>
      <c r="L53" s="1" t="s">
        <v>183</v>
      </c>
      <c r="M53" s="1" t="s">
        <v>409</v>
      </c>
      <c r="N53" s="1" t="s">
        <v>409</v>
      </c>
      <c r="O53" s="1" t="s">
        <v>410</v>
      </c>
      <c r="P53" s="1" t="s">
        <v>411</v>
      </c>
    </row>
    <row r="54" spans="1:16">
      <c r="A54" s="1" t="s">
        <v>156</v>
      </c>
      <c r="B54" s="19">
        <v>45229</v>
      </c>
      <c r="C54" s="1" t="s">
        <v>412</v>
      </c>
      <c r="D54" s="1" t="s">
        <v>413</v>
      </c>
      <c r="E54" s="1" t="s">
        <v>84</v>
      </c>
      <c r="F54" s="1">
        <v>996412</v>
      </c>
      <c r="G54" s="1" t="s">
        <v>169</v>
      </c>
      <c r="H54" s="5">
        <v>2.5000000000000001E-2</v>
      </c>
      <c r="I54" s="5">
        <v>2.5000000000000001E-2</v>
      </c>
      <c r="J54" s="20">
        <v>0.05</v>
      </c>
      <c r="K54" s="1" t="s">
        <v>414</v>
      </c>
      <c r="L54" s="1" t="s">
        <v>183</v>
      </c>
      <c r="M54" s="1" t="s">
        <v>415</v>
      </c>
      <c r="N54" s="1" t="s">
        <v>415</v>
      </c>
      <c r="O54" s="1" t="s">
        <v>416</v>
      </c>
      <c r="P54" s="1" t="s">
        <v>417</v>
      </c>
    </row>
    <row r="55" spans="1:16">
      <c r="A55" s="1" t="s">
        <v>156</v>
      </c>
      <c r="B55" s="19">
        <v>45260</v>
      </c>
      <c r="C55" s="1" t="s">
        <v>418</v>
      </c>
      <c r="D55" s="1" t="s">
        <v>407</v>
      </c>
      <c r="E55" s="1" t="s">
        <v>41</v>
      </c>
      <c r="F55" s="1">
        <v>998211</v>
      </c>
      <c r="G55" s="1" t="s">
        <v>169</v>
      </c>
      <c r="H55" s="5">
        <v>0.09</v>
      </c>
      <c r="I55" s="5">
        <v>0.09</v>
      </c>
      <c r="J55" s="20">
        <v>0.18</v>
      </c>
      <c r="K55" s="1" t="s">
        <v>419</v>
      </c>
      <c r="L55" s="1" t="s">
        <v>183</v>
      </c>
      <c r="M55" s="1" t="s">
        <v>420</v>
      </c>
      <c r="N55" s="1" t="s">
        <v>420</v>
      </c>
      <c r="O55" s="1" t="s">
        <v>421</v>
      </c>
      <c r="P55" s="1" t="s">
        <v>422</v>
      </c>
    </row>
    <row r="56" spans="1:16">
      <c r="A56" s="1" t="s">
        <v>156</v>
      </c>
      <c r="B56" s="19">
        <v>45260</v>
      </c>
      <c r="C56" s="1" t="s">
        <v>423</v>
      </c>
      <c r="D56" s="1" t="s">
        <v>407</v>
      </c>
      <c r="E56" s="1" t="s">
        <v>41</v>
      </c>
      <c r="F56" s="1">
        <v>998211</v>
      </c>
      <c r="G56" s="1" t="s">
        <v>169</v>
      </c>
      <c r="H56" s="5">
        <v>0.09</v>
      </c>
      <c r="I56" s="5">
        <v>0.09</v>
      </c>
      <c r="J56" s="20">
        <v>0.18</v>
      </c>
      <c r="K56" s="1" t="s">
        <v>424</v>
      </c>
      <c r="L56" s="1" t="s">
        <v>183</v>
      </c>
      <c r="M56" s="1" t="s">
        <v>425</v>
      </c>
      <c r="N56" s="1" t="s">
        <v>425</v>
      </c>
      <c r="O56" s="1" t="s">
        <v>426</v>
      </c>
      <c r="P56" s="1" t="s">
        <v>427</v>
      </c>
    </row>
    <row r="57" spans="1:16">
      <c r="A57" s="1" t="s">
        <v>156</v>
      </c>
      <c r="B57" s="19">
        <v>45260</v>
      </c>
      <c r="C57" s="1" t="s">
        <v>428</v>
      </c>
      <c r="D57" s="1" t="s">
        <v>181</v>
      </c>
      <c r="E57" s="1" t="s">
        <v>41</v>
      </c>
      <c r="F57" s="1">
        <v>998211</v>
      </c>
      <c r="G57" s="1" t="s">
        <v>169</v>
      </c>
      <c r="H57" s="5">
        <v>0.09</v>
      </c>
      <c r="I57" s="5">
        <v>0.09</v>
      </c>
      <c r="J57" s="20">
        <v>0.18</v>
      </c>
      <c r="K57" s="1" t="s">
        <v>231</v>
      </c>
      <c r="L57" s="1" t="s">
        <v>183</v>
      </c>
      <c r="M57" s="1" t="s">
        <v>232</v>
      </c>
      <c r="N57" s="1" t="s">
        <v>232</v>
      </c>
      <c r="O57" s="1" t="s">
        <v>233</v>
      </c>
      <c r="P57" s="1" t="s">
        <v>234</v>
      </c>
    </row>
    <row r="58" spans="1:16">
      <c r="A58" s="1" t="s">
        <v>156</v>
      </c>
      <c r="B58" s="19">
        <v>45278</v>
      </c>
      <c r="C58" s="1" t="s">
        <v>429</v>
      </c>
      <c r="D58" s="1" t="s">
        <v>188</v>
      </c>
      <c r="E58" s="1" t="s">
        <v>41</v>
      </c>
      <c r="F58" s="1">
        <v>998211</v>
      </c>
      <c r="G58" s="1" t="s">
        <v>169</v>
      </c>
      <c r="H58" s="5">
        <v>0.09</v>
      </c>
      <c r="I58" s="5">
        <v>0.09</v>
      </c>
      <c r="J58" s="20">
        <v>0.18</v>
      </c>
      <c r="K58" s="1" t="s">
        <v>309</v>
      </c>
      <c r="L58" s="1" t="s">
        <v>183</v>
      </c>
      <c r="M58" s="1" t="s">
        <v>267</v>
      </c>
      <c r="N58" s="1" t="s">
        <v>267</v>
      </c>
      <c r="O58" s="1" t="s">
        <v>310</v>
      </c>
      <c r="P58" s="1" t="s">
        <v>311</v>
      </c>
    </row>
    <row r="59" spans="1:16">
      <c r="A59" s="1" t="s">
        <v>156</v>
      </c>
      <c r="B59" s="19">
        <v>45323</v>
      </c>
      <c r="C59" s="1" t="s">
        <v>430</v>
      </c>
      <c r="D59" s="1" t="s">
        <v>431</v>
      </c>
      <c r="E59" s="1" t="s">
        <v>41</v>
      </c>
      <c r="F59" s="1">
        <v>998211</v>
      </c>
      <c r="G59" s="1" t="s">
        <v>169</v>
      </c>
      <c r="H59" s="5">
        <v>0.09</v>
      </c>
      <c r="I59" s="5">
        <v>0.09</v>
      </c>
      <c r="J59" s="20">
        <v>0.18</v>
      </c>
      <c r="K59" s="1" t="s">
        <v>432</v>
      </c>
      <c r="L59" s="1" t="s">
        <v>183</v>
      </c>
      <c r="M59" s="1" t="s">
        <v>433</v>
      </c>
      <c r="N59" s="1" t="s">
        <v>433</v>
      </c>
      <c r="O59" s="1" t="s">
        <v>434</v>
      </c>
      <c r="P59" s="1" t="s">
        <v>435</v>
      </c>
    </row>
    <row r="60" spans="1:16">
      <c r="A60" s="1" t="s">
        <v>156</v>
      </c>
      <c r="B60" s="19">
        <v>45323</v>
      </c>
      <c r="C60" s="1" t="s">
        <v>436</v>
      </c>
      <c r="D60" s="1" t="s">
        <v>431</v>
      </c>
      <c r="E60" s="1" t="s">
        <v>41</v>
      </c>
      <c r="F60" s="1">
        <v>998211</v>
      </c>
      <c r="G60" s="1" t="s">
        <v>169</v>
      </c>
      <c r="H60" s="5">
        <v>0.09</v>
      </c>
      <c r="I60" s="5">
        <v>0.09</v>
      </c>
      <c r="J60" s="20">
        <v>0.18</v>
      </c>
      <c r="K60" s="1" t="s">
        <v>231</v>
      </c>
      <c r="L60" s="1" t="s">
        <v>183</v>
      </c>
      <c r="M60" s="1" t="s">
        <v>232</v>
      </c>
      <c r="N60" s="1" t="s">
        <v>232</v>
      </c>
      <c r="O60" s="1" t="s">
        <v>233</v>
      </c>
      <c r="P60" s="1" t="s">
        <v>234</v>
      </c>
    </row>
    <row r="61" spans="1:16">
      <c r="A61" s="1" t="s">
        <v>156</v>
      </c>
      <c r="B61" s="19">
        <v>45323</v>
      </c>
      <c r="C61" s="1" t="s">
        <v>437</v>
      </c>
      <c r="D61" s="1" t="s">
        <v>407</v>
      </c>
      <c r="E61" s="1" t="s">
        <v>41</v>
      </c>
      <c r="F61" s="1">
        <v>998211</v>
      </c>
      <c r="G61" s="1" t="s">
        <v>169</v>
      </c>
      <c r="H61" s="5">
        <v>0.09</v>
      </c>
      <c r="I61" s="5">
        <v>0.09</v>
      </c>
      <c r="J61" s="20">
        <v>0.18</v>
      </c>
      <c r="K61" s="1" t="s">
        <v>424</v>
      </c>
      <c r="L61" s="1" t="s">
        <v>183</v>
      </c>
      <c r="M61" s="1" t="s">
        <v>425</v>
      </c>
      <c r="N61" s="1" t="s">
        <v>425</v>
      </c>
      <c r="O61" s="1" t="s">
        <v>426</v>
      </c>
      <c r="P61" s="1" t="s">
        <v>427</v>
      </c>
    </row>
    <row r="62" spans="1:16">
      <c r="A62" s="1" t="s">
        <v>156</v>
      </c>
      <c r="B62" s="19">
        <v>45323</v>
      </c>
      <c r="C62" s="1" t="s">
        <v>438</v>
      </c>
      <c r="D62" s="1" t="s">
        <v>407</v>
      </c>
      <c r="E62" s="1" t="s">
        <v>41</v>
      </c>
      <c r="F62" s="1">
        <v>998211</v>
      </c>
      <c r="G62" s="1" t="s">
        <v>169</v>
      </c>
      <c r="H62" s="5">
        <v>0.09</v>
      </c>
      <c r="I62" s="5">
        <v>0.09</v>
      </c>
      <c r="J62" s="20">
        <v>0.18</v>
      </c>
      <c r="K62" s="1" t="s">
        <v>439</v>
      </c>
      <c r="L62" s="1" t="s">
        <v>183</v>
      </c>
      <c r="M62" s="1" t="s">
        <v>440</v>
      </c>
      <c r="N62" s="1" t="s">
        <v>440</v>
      </c>
      <c r="O62" s="1" t="s">
        <v>395</v>
      </c>
      <c r="P62" s="1" t="s">
        <v>441</v>
      </c>
    </row>
    <row r="63" spans="1:16">
      <c r="A63" s="1" t="s">
        <v>156</v>
      </c>
      <c r="B63" s="19">
        <v>45327</v>
      </c>
      <c r="C63" s="1" t="s">
        <v>442</v>
      </c>
      <c r="D63" s="1" t="s">
        <v>431</v>
      </c>
      <c r="E63" s="1" t="s">
        <v>41</v>
      </c>
      <c r="F63" s="1">
        <v>998211</v>
      </c>
      <c r="G63" s="1" t="s">
        <v>169</v>
      </c>
      <c r="H63" s="5">
        <v>0.09</v>
      </c>
      <c r="I63" s="5">
        <v>0.09</v>
      </c>
      <c r="J63" s="20">
        <v>0.18</v>
      </c>
      <c r="K63" s="1" t="s">
        <v>231</v>
      </c>
      <c r="L63" s="1" t="s">
        <v>183</v>
      </c>
      <c r="M63" s="1" t="s">
        <v>232</v>
      </c>
      <c r="N63" s="1" t="s">
        <v>232</v>
      </c>
      <c r="O63" s="1" t="s">
        <v>233</v>
      </c>
      <c r="P63" s="1" t="s">
        <v>234</v>
      </c>
    </row>
    <row r="64" spans="1:16">
      <c r="A64" s="1" t="s">
        <v>156</v>
      </c>
      <c r="B64" s="19">
        <v>45348</v>
      </c>
      <c r="C64" s="1" t="s">
        <v>443</v>
      </c>
      <c r="D64" s="1" t="s">
        <v>444</v>
      </c>
      <c r="E64" s="1" t="s">
        <v>84</v>
      </c>
      <c r="F64" s="1">
        <v>996412</v>
      </c>
      <c r="G64" s="1" t="s">
        <v>169</v>
      </c>
      <c r="H64" s="5">
        <v>2.5000000000000001E-2</v>
      </c>
      <c r="I64" s="5">
        <v>2.5000000000000001E-2</v>
      </c>
      <c r="J64" s="20">
        <v>0.05</v>
      </c>
      <c r="K64" s="1" t="s">
        <v>445</v>
      </c>
      <c r="L64" s="1" t="s">
        <v>183</v>
      </c>
      <c r="M64" s="1" t="s">
        <v>446</v>
      </c>
      <c r="N64" s="1" t="s">
        <v>446</v>
      </c>
      <c r="O64" s="1" t="s">
        <v>447</v>
      </c>
      <c r="P64" s="1" t="s">
        <v>448</v>
      </c>
    </row>
    <row r="65" spans="1:16">
      <c r="A65" s="1" t="s">
        <v>156</v>
      </c>
      <c r="B65" s="19">
        <v>45370</v>
      </c>
      <c r="C65" s="1" t="s">
        <v>449</v>
      </c>
      <c r="D65" s="1" t="s">
        <v>181</v>
      </c>
      <c r="E65" s="1" t="s">
        <v>41</v>
      </c>
      <c r="F65" s="1">
        <v>998211</v>
      </c>
      <c r="G65" s="1" t="s">
        <v>169</v>
      </c>
      <c r="H65" s="5">
        <v>0.09</v>
      </c>
      <c r="I65" s="5">
        <v>0.09</v>
      </c>
      <c r="J65" s="20">
        <v>0.18</v>
      </c>
      <c r="K65" s="1" t="s">
        <v>238</v>
      </c>
      <c r="L65" s="1" t="s">
        <v>183</v>
      </c>
      <c r="M65" s="1" t="s">
        <v>331</v>
      </c>
      <c r="N65" s="1" t="s">
        <v>331</v>
      </c>
      <c r="O65" s="1" t="s">
        <v>294</v>
      </c>
      <c r="P65" s="1" t="s">
        <v>450</v>
      </c>
    </row>
    <row r="66" spans="1:16">
      <c r="A66" s="1" t="s">
        <v>156</v>
      </c>
      <c r="B66" s="19">
        <v>45387</v>
      </c>
      <c r="C66" s="1" t="s">
        <v>451</v>
      </c>
      <c r="D66" s="1" t="s">
        <v>452</v>
      </c>
      <c r="E66" s="1" t="s">
        <v>84</v>
      </c>
      <c r="F66" s="1">
        <v>996412</v>
      </c>
      <c r="G66" s="1" t="s">
        <v>169</v>
      </c>
      <c r="H66" s="5">
        <v>2.5000000000000001E-2</v>
      </c>
      <c r="I66" s="5">
        <v>2.5000000000000001E-2</v>
      </c>
      <c r="J66" s="20">
        <v>0.05</v>
      </c>
      <c r="K66" s="1" t="s">
        <v>453</v>
      </c>
      <c r="L66" s="1" t="s">
        <v>183</v>
      </c>
      <c r="M66" s="1" t="s">
        <v>454</v>
      </c>
      <c r="N66" s="1" t="s">
        <v>454</v>
      </c>
      <c r="O66" s="1" t="s">
        <v>455</v>
      </c>
      <c r="P66" s="1" t="s">
        <v>456</v>
      </c>
    </row>
    <row r="67" spans="1:16">
      <c r="A67" s="1" t="s">
        <v>156</v>
      </c>
      <c r="B67" s="19">
        <v>45406</v>
      </c>
      <c r="C67" s="1" t="s">
        <v>457</v>
      </c>
      <c r="D67" s="1" t="s">
        <v>452</v>
      </c>
      <c r="E67" s="1" t="s">
        <v>84</v>
      </c>
      <c r="F67" s="1">
        <v>996412</v>
      </c>
      <c r="G67" s="1" t="s">
        <v>169</v>
      </c>
      <c r="H67" s="5">
        <v>2.5000000000000001E-2</v>
      </c>
      <c r="I67" s="5">
        <v>2.5000000000000001E-2</v>
      </c>
      <c r="J67" s="20">
        <v>0.05</v>
      </c>
      <c r="K67" s="1" t="s">
        <v>458</v>
      </c>
      <c r="L67" s="1" t="s">
        <v>183</v>
      </c>
      <c r="M67" s="1" t="s">
        <v>276</v>
      </c>
      <c r="N67" s="1" t="s">
        <v>276</v>
      </c>
      <c r="O67" s="1" t="s">
        <v>459</v>
      </c>
      <c r="P67" s="1" t="s">
        <v>460</v>
      </c>
    </row>
    <row r="68" spans="1:16">
      <c r="A68" s="1" t="s">
        <v>156</v>
      </c>
      <c r="B68" s="19">
        <v>45428</v>
      </c>
      <c r="C68" s="1" t="s">
        <v>461</v>
      </c>
      <c r="D68" s="1" t="s">
        <v>452</v>
      </c>
      <c r="E68" s="1" t="s">
        <v>84</v>
      </c>
      <c r="F68" s="1">
        <v>996412</v>
      </c>
      <c r="G68" s="1" t="s">
        <v>169</v>
      </c>
      <c r="H68" s="5">
        <v>2.5000000000000001E-2</v>
      </c>
      <c r="I68" s="5">
        <v>2.5000000000000001E-2</v>
      </c>
      <c r="J68" s="20">
        <v>0.05</v>
      </c>
      <c r="K68" s="1" t="s">
        <v>453</v>
      </c>
      <c r="L68" s="1" t="s">
        <v>183</v>
      </c>
      <c r="M68" s="1" t="s">
        <v>454</v>
      </c>
      <c r="N68" s="1" t="s">
        <v>454</v>
      </c>
      <c r="O68" s="1" t="s">
        <v>455</v>
      </c>
      <c r="P68" s="1" t="s">
        <v>456</v>
      </c>
    </row>
    <row r="69" spans="1:16">
      <c r="A69" s="1" t="s">
        <v>156</v>
      </c>
      <c r="B69" s="19">
        <v>45460</v>
      </c>
      <c r="C69" s="1" t="s">
        <v>462</v>
      </c>
      <c r="D69" s="1" t="s">
        <v>463</v>
      </c>
      <c r="E69" s="1" t="s">
        <v>106</v>
      </c>
      <c r="F69" s="1">
        <v>996791</v>
      </c>
      <c r="G69" s="1" t="s">
        <v>170</v>
      </c>
      <c r="H69" s="5">
        <v>2.5000000000000001E-2</v>
      </c>
      <c r="I69" s="5">
        <v>2.5000000000000001E-2</v>
      </c>
      <c r="J69" s="20">
        <v>0.05</v>
      </c>
      <c r="K69" s="1" t="s">
        <v>464</v>
      </c>
      <c r="L69" s="1" t="s">
        <v>465</v>
      </c>
      <c r="M69" s="1" t="s">
        <v>183</v>
      </c>
      <c r="N69" s="1" t="s">
        <v>183</v>
      </c>
      <c r="O69" s="1" t="s">
        <v>465</v>
      </c>
      <c r="P69" s="1" t="s">
        <v>466</v>
      </c>
    </row>
    <row r="70" spans="1:16">
      <c r="A70" s="1" t="s">
        <v>156</v>
      </c>
      <c r="B70" s="19">
        <v>45504</v>
      </c>
      <c r="C70" s="1" t="s">
        <v>467</v>
      </c>
      <c r="D70" s="1" t="s">
        <v>181</v>
      </c>
      <c r="E70" s="1" t="s">
        <v>41</v>
      </c>
      <c r="F70" s="1">
        <v>998211</v>
      </c>
      <c r="G70" s="1" t="s">
        <v>169</v>
      </c>
      <c r="H70" s="5">
        <v>0.09</v>
      </c>
      <c r="I70" s="5">
        <v>0.09</v>
      </c>
      <c r="J70" s="20">
        <v>0.18</v>
      </c>
      <c r="K70" s="1" t="s">
        <v>424</v>
      </c>
      <c r="L70" s="1" t="s">
        <v>183</v>
      </c>
      <c r="M70" s="1" t="s">
        <v>425</v>
      </c>
      <c r="N70" s="1" t="s">
        <v>425</v>
      </c>
      <c r="O70" s="1" t="s">
        <v>426</v>
      </c>
      <c r="P70" s="1" t="s">
        <v>427</v>
      </c>
    </row>
    <row r="71" spans="1:16">
      <c r="A71" s="1" t="s">
        <v>156</v>
      </c>
      <c r="B71" s="19">
        <v>45504</v>
      </c>
      <c r="C71" s="1" t="s">
        <v>468</v>
      </c>
      <c r="D71" s="1" t="s">
        <v>181</v>
      </c>
      <c r="E71" s="1" t="s">
        <v>41</v>
      </c>
      <c r="F71" s="1">
        <v>998211</v>
      </c>
      <c r="G71" s="1" t="s">
        <v>169</v>
      </c>
      <c r="H71" s="5">
        <v>0.09</v>
      </c>
      <c r="I71" s="5">
        <v>0.09</v>
      </c>
      <c r="J71" s="20">
        <v>0.18</v>
      </c>
      <c r="K71" s="1" t="s">
        <v>469</v>
      </c>
      <c r="L71" s="1" t="s">
        <v>183</v>
      </c>
      <c r="M71" s="1" t="s">
        <v>470</v>
      </c>
      <c r="N71" s="1" t="s">
        <v>470</v>
      </c>
      <c r="O71" s="1" t="s">
        <v>471</v>
      </c>
      <c r="P71" s="1" t="s">
        <v>472</v>
      </c>
    </row>
    <row r="72" spans="1:16">
      <c r="A72" s="1" t="s">
        <v>156</v>
      </c>
      <c r="B72" s="19">
        <v>45535</v>
      </c>
      <c r="C72" s="1" t="s">
        <v>473</v>
      </c>
      <c r="D72" s="1" t="s">
        <v>181</v>
      </c>
      <c r="E72" s="1" t="s">
        <v>41</v>
      </c>
      <c r="F72" s="1">
        <v>998211</v>
      </c>
      <c r="G72" s="1" t="s">
        <v>169</v>
      </c>
      <c r="H72" s="5">
        <v>0.09</v>
      </c>
      <c r="I72" s="5">
        <v>0.09</v>
      </c>
      <c r="J72" s="20">
        <v>0.18</v>
      </c>
      <c r="K72" s="1" t="s">
        <v>474</v>
      </c>
      <c r="L72" s="1" t="s">
        <v>183</v>
      </c>
      <c r="M72" s="1" t="s">
        <v>475</v>
      </c>
      <c r="N72" s="1" t="s">
        <v>475</v>
      </c>
      <c r="O72" s="1" t="s">
        <v>476</v>
      </c>
      <c r="P72" s="1" t="s">
        <v>477</v>
      </c>
    </row>
    <row r="73" spans="1:16">
      <c r="A73" s="1" t="s">
        <v>156</v>
      </c>
      <c r="B73" s="19">
        <v>45535</v>
      </c>
      <c r="C73" s="1" t="s">
        <v>478</v>
      </c>
      <c r="D73" s="1" t="s">
        <v>181</v>
      </c>
      <c r="E73" s="1" t="s">
        <v>41</v>
      </c>
      <c r="F73" s="1">
        <v>998211</v>
      </c>
      <c r="G73" s="1" t="s">
        <v>169</v>
      </c>
      <c r="H73" s="5">
        <v>0.09</v>
      </c>
      <c r="I73" s="5">
        <v>0.09</v>
      </c>
      <c r="J73" s="20">
        <v>0.18</v>
      </c>
      <c r="K73" s="1" t="s">
        <v>329</v>
      </c>
      <c r="L73" s="1" t="s">
        <v>183</v>
      </c>
      <c r="M73" s="1" t="s">
        <v>330</v>
      </c>
      <c r="N73" s="1" t="s">
        <v>330</v>
      </c>
      <c r="O73" s="1" t="s">
        <v>331</v>
      </c>
      <c r="P73" s="1" t="s">
        <v>332</v>
      </c>
    </row>
    <row r="74" spans="1:16">
      <c r="A74" s="1" t="s">
        <v>156</v>
      </c>
      <c r="B74" s="19">
        <v>45535</v>
      </c>
      <c r="C74" s="1" t="s">
        <v>479</v>
      </c>
      <c r="D74" s="1" t="s">
        <v>480</v>
      </c>
      <c r="E74" s="1" t="s">
        <v>106</v>
      </c>
      <c r="F74" s="1">
        <v>996791</v>
      </c>
      <c r="G74" s="1" t="s">
        <v>169</v>
      </c>
      <c r="H74" s="5">
        <v>2.5000000000000001E-2</v>
      </c>
      <c r="I74" s="5">
        <v>2.5000000000000001E-2</v>
      </c>
      <c r="J74" s="20">
        <v>0.05</v>
      </c>
      <c r="K74" s="1" t="s">
        <v>458</v>
      </c>
      <c r="L74" s="1" t="s">
        <v>183</v>
      </c>
      <c r="M74" s="1" t="s">
        <v>276</v>
      </c>
      <c r="N74" s="1" t="s">
        <v>276</v>
      </c>
      <c r="O74" s="1" t="s">
        <v>481</v>
      </c>
      <c r="P74" s="1" t="s">
        <v>460</v>
      </c>
    </row>
    <row r="75" spans="1:16">
      <c r="A75" s="1" t="s">
        <v>156</v>
      </c>
      <c r="B75" s="19">
        <v>45535</v>
      </c>
      <c r="C75" s="1" t="s">
        <v>482</v>
      </c>
      <c r="D75" s="1" t="s">
        <v>483</v>
      </c>
      <c r="E75" s="1" t="s">
        <v>230</v>
      </c>
      <c r="F75" s="1">
        <v>996311</v>
      </c>
      <c r="G75" s="1" t="s">
        <v>169</v>
      </c>
      <c r="H75" s="5">
        <v>0.09</v>
      </c>
      <c r="I75" s="5">
        <v>0.09</v>
      </c>
      <c r="J75" s="20">
        <v>0.18</v>
      </c>
      <c r="K75" s="1" t="s">
        <v>484</v>
      </c>
      <c r="L75" s="1" t="s">
        <v>183</v>
      </c>
      <c r="M75" s="1" t="s">
        <v>485</v>
      </c>
      <c r="N75" s="1" t="s">
        <v>485</v>
      </c>
      <c r="O75" s="1" t="s">
        <v>486</v>
      </c>
      <c r="P75" s="1" t="s">
        <v>487</v>
      </c>
    </row>
  </sheetData>
  <pageMargins left="0.15748031496062992" right="0.55118110236220474" top="0.19685039370078741" bottom="0.27559055118110237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Prasad Deshpande</dc:creator>
  <cp:keywords/>
  <dc:description/>
  <cp:lastModifiedBy/>
  <cp:revision/>
  <dcterms:created xsi:type="dcterms:W3CDTF">2015-06-05T18:17:20Z</dcterms:created>
  <dcterms:modified xsi:type="dcterms:W3CDTF">2025-10-17T07:56:03Z</dcterms:modified>
  <cp:category/>
  <cp:contentStatus/>
</cp:coreProperties>
</file>